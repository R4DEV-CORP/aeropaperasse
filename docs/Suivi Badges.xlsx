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ayatsas.sharepoint.com/sites/RZB_L17.3/Documents partages/03- RAZEL BEC/09- SURETE/02 - Badges Personnels/"/>
    </mc:Choice>
  </mc:AlternateContent>
  <xr:revisionPtr revIDLastSave="13764" documentId="13_ncr:1_{C5A08C36-9789-4494-A057-E8C1CEA35FDD}" xr6:coauthVersionLast="47" xr6:coauthVersionMax="47" xr10:uidLastSave="{CD9A1723-E94F-4E82-ACD3-1B257983929B}"/>
  <bookViews>
    <workbookView xWindow="-28920" yWindow="-120" windowWidth="29040" windowHeight="15720" firstSheet="3" activeTab="1" xr2:uid="{33A3D466-D8D0-4C3E-B60C-CA875C0CA9C2}"/>
  </bookViews>
  <sheets>
    <sheet name="Documents" sheetId="2" r:id="rId1"/>
    <sheet name="Badges TCA" sheetId="1" r:id="rId2"/>
    <sheet name="Permis Piste" sheetId="4" r:id="rId3"/>
    <sheet name="Véhicules" sheetId="5" r:id="rId4"/>
    <sheet name="Sous-Traitant" sheetId="3" r:id="rId5"/>
  </sheets>
  <definedNames>
    <definedName name="_xlnm._FilterDatabase" localSheetId="1" hidden="1">'Badges TCA'!$A$35:$AK$139</definedName>
    <definedName name="_xlnm._FilterDatabase" localSheetId="2" hidden="1">'Permis Piste'!$A$5:$K$5</definedName>
    <definedName name="_xlnm._FilterDatabase" localSheetId="4" hidden="1">'Sous-Traitant'!$A$5:$N$5</definedName>
    <definedName name="_xlnm._FilterDatabase" localSheetId="3" hidden="1">Véhicules!$A$5:$H$48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3" i="1" l="1"/>
  <c r="AG14" i="1"/>
  <c r="AG15" i="1"/>
  <c r="AG16" i="1"/>
  <c r="AG20" i="1"/>
  <c r="AG10" i="1"/>
  <c r="AG11" i="1"/>
  <c r="AG12" i="1"/>
  <c r="AG17" i="1"/>
  <c r="AG18" i="1"/>
  <c r="AG19" i="1"/>
  <c r="AB14" i="1"/>
  <c r="AB9" i="1"/>
  <c r="AB10" i="1"/>
  <c r="AB11" i="1"/>
  <c r="AB12" i="1"/>
  <c r="AB15" i="1"/>
  <c r="AB16" i="1"/>
  <c r="AB17" i="1"/>
  <c r="AB18" i="1"/>
  <c r="AB19" i="1"/>
  <c r="AG73" i="1"/>
  <c r="D2" i="1"/>
  <c r="E19" i="1" s="1"/>
  <c r="AG132" i="1"/>
  <c r="AG133" i="1"/>
  <c r="AG93" i="1"/>
  <c r="AG47" i="1"/>
  <c r="B22" i="1"/>
  <c r="AG126" i="1"/>
  <c r="AG125" i="1"/>
  <c r="AG113" i="1"/>
  <c r="AG78" i="1"/>
  <c r="AG37" i="1"/>
  <c r="AB75" i="1"/>
  <c r="AG160" i="1"/>
  <c r="AG85" i="1"/>
  <c r="AG98" i="1"/>
  <c r="AG100" i="1"/>
  <c r="AG106" i="1"/>
  <c r="AG107" i="1"/>
  <c r="AG169" i="1"/>
  <c r="AG109" i="1"/>
  <c r="AG118" i="1"/>
  <c r="AG119" i="1"/>
  <c r="AG128" i="1"/>
  <c r="AG135" i="1"/>
  <c r="AG71" i="1"/>
  <c r="AG147" i="1"/>
  <c r="AG56" i="1"/>
  <c r="AG66" i="1"/>
  <c r="AG39" i="1"/>
  <c r="B179" i="1"/>
  <c r="E11" i="1"/>
  <c r="E132" i="1"/>
  <c r="C3" i="4"/>
  <c r="AI179" i="1"/>
  <c r="AB46" i="1"/>
  <c r="AG46" i="1"/>
  <c r="AB185" i="1"/>
  <c r="AB187" i="1"/>
  <c r="AH179" i="1"/>
  <c r="AB210" i="1"/>
  <c r="AB211" i="1"/>
  <c r="AB177" i="1"/>
  <c r="AG9" i="1"/>
  <c r="AG185" i="1"/>
  <c r="AG187" i="1"/>
  <c r="AG188" i="1"/>
  <c r="AG192" i="1"/>
  <c r="AG193" i="1"/>
  <c r="AG196" i="1"/>
  <c r="AG198" i="1"/>
  <c r="AG200" i="1"/>
  <c r="AG201" i="1"/>
  <c r="AG206" i="1"/>
  <c r="AG207" i="1"/>
  <c r="AG159" i="1"/>
  <c r="AB67" i="1"/>
  <c r="AG67" i="1"/>
  <c r="AB188" i="1"/>
  <c r="AB13" i="1"/>
  <c r="AB76" i="1"/>
  <c r="AG76" i="1"/>
  <c r="AB79" i="1"/>
  <c r="AG79" i="1"/>
  <c r="AB192" i="1"/>
  <c r="AB193" i="1"/>
  <c r="AB196" i="1"/>
  <c r="AB198" i="1"/>
  <c r="AB200" i="1"/>
  <c r="AB201" i="1"/>
  <c r="AB114" i="1"/>
  <c r="AG114" i="1"/>
  <c r="AB138" i="1"/>
  <c r="AG138" i="1"/>
  <c r="AB97" i="1"/>
  <c r="AG97" i="1"/>
  <c r="AG145" i="1"/>
  <c r="AB145" i="1"/>
  <c r="AB60" i="1"/>
  <c r="AG60" i="1"/>
  <c r="AG146" i="1"/>
  <c r="AB68" i="1"/>
  <c r="AG68" i="1"/>
  <c r="AB189" i="1"/>
  <c r="AB77" i="1"/>
  <c r="AG77" i="1"/>
  <c r="AB104" i="1"/>
  <c r="AG104" i="1"/>
  <c r="AB55" i="1"/>
  <c r="AG55" i="1"/>
  <c r="AG172" i="1"/>
  <c r="AG176" i="1"/>
  <c r="AG210" i="1"/>
  <c r="AG211" i="1"/>
  <c r="AB74" i="1"/>
  <c r="AG74" i="1"/>
  <c r="AB206" i="1"/>
  <c r="AB117" i="1"/>
  <c r="AG117" i="1"/>
  <c r="AB207" i="1"/>
  <c r="AB45" i="1"/>
  <c r="AG45" i="1"/>
  <c r="AB50" i="1"/>
  <c r="AG50" i="1"/>
  <c r="AB99" i="1"/>
  <c r="AG99" i="1"/>
  <c r="AB42" i="1"/>
  <c r="AG42" i="1"/>
  <c r="AB124" i="1"/>
  <c r="AG124" i="1"/>
  <c r="AB120" i="1"/>
  <c r="AG120" i="1"/>
  <c r="AB129" i="1"/>
  <c r="AG129" i="1"/>
  <c r="AG162" i="1"/>
  <c r="AB123" i="1"/>
  <c r="AG123" i="1"/>
  <c r="G56" i="5"/>
  <c r="AG183" i="1"/>
  <c r="AG184" i="1"/>
  <c r="AB183" i="1"/>
  <c r="AB184" i="1"/>
  <c r="AB59" i="1"/>
  <c r="AG59" i="1"/>
  <c r="AB61" i="1"/>
  <c r="AG61" i="1"/>
  <c r="AB103" i="1"/>
  <c r="AG103" i="1"/>
  <c r="AG152" i="1"/>
  <c r="AG155" i="1"/>
  <c r="AG157" i="1"/>
  <c r="AG165" i="1"/>
  <c r="AG166" i="1"/>
  <c r="AG173" i="1"/>
  <c r="AG175" i="1"/>
  <c r="AG151" i="1"/>
  <c r="AG153" i="1"/>
  <c r="AG164" i="1"/>
  <c r="AG168" i="1"/>
  <c r="AG170" i="1"/>
  <c r="AG174" i="1"/>
  <c r="AG189" i="1"/>
  <c r="AG161" i="1"/>
  <c r="AG194" i="1"/>
  <c r="AG156" i="1"/>
  <c r="AG195" i="1"/>
  <c r="AG163" i="1"/>
  <c r="AG202" i="1"/>
  <c r="AG203" i="1"/>
  <c r="AG204" i="1"/>
  <c r="AG205" i="1"/>
  <c r="AG213" i="1"/>
  <c r="F22" i="5"/>
  <c r="AB91" i="1"/>
  <c r="AG91" i="1"/>
  <c r="AB115" i="1"/>
  <c r="AG115" i="1"/>
  <c r="AB202" i="1"/>
  <c r="AB44" i="1"/>
  <c r="AG44" i="1"/>
  <c r="AB161" i="1"/>
  <c r="AB137" i="1"/>
  <c r="AG137" i="1"/>
  <c r="AB83" i="1"/>
  <c r="AG83" i="1"/>
  <c r="AG190" i="1"/>
  <c r="AB130" i="1"/>
  <c r="AG130" i="1"/>
  <c r="AB116" i="1"/>
  <c r="AG116" i="1"/>
  <c r="AB168" i="1"/>
  <c r="AB38" i="1"/>
  <c r="AG38" i="1"/>
  <c r="AB53" i="1"/>
  <c r="AG53" i="1"/>
  <c r="AB51" i="1"/>
  <c r="AG51" i="1"/>
  <c r="AB122" i="1"/>
  <c r="AG122" i="1"/>
  <c r="AB163" i="1"/>
  <c r="AB156" i="1"/>
  <c r="T140" i="1"/>
  <c r="AE140" i="1"/>
  <c r="AD140" i="1"/>
  <c r="AB197" i="1"/>
  <c r="AB164" i="1"/>
  <c r="C2" i="1"/>
  <c r="B4" i="3"/>
  <c r="B140" i="1"/>
  <c r="AB121" i="1"/>
  <c r="AG121" i="1"/>
  <c r="AB94" i="1"/>
  <c r="AG94" i="1"/>
  <c r="AB95" i="1"/>
  <c r="AG95" i="1"/>
  <c r="AB81" i="1"/>
  <c r="AG81" i="1"/>
  <c r="AB41" i="1"/>
  <c r="AG41" i="1"/>
  <c r="AB43" i="1"/>
  <c r="AG43" i="1"/>
  <c r="AG197" i="1"/>
  <c r="U22" i="1"/>
  <c r="AG32" i="1"/>
  <c r="AB127" i="1"/>
  <c r="AG127" i="1"/>
  <c r="AB131" i="1"/>
  <c r="AG131" i="1"/>
  <c r="AB134" i="1"/>
  <c r="AG134" i="1"/>
  <c r="AB213" i="1"/>
  <c r="AB136" i="1"/>
  <c r="AG136" i="1"/>
  <c r="AB110" i="1"/>
  <c r="AG110" i="1"/>
  <c r="AB111" i="1"/>
  <c r="AG111" i="1"/>
  <c r="AB112" i="1"/>
  <c r="AG112" i="1"/>
  <c r="AB195" i="1"/>
  <c r="AB89" i="1"/>
  <c r="AG89" i="1"/>
  <c r="AB72" i="1"/>
  <c r="AG72" i="1"/>
  <c r="AB62" i="1"/>
  <c r="AG62" i="1"/>
  <c r="AB63" i="1"/>
  <c r="AG63" i="1"/>
  <c r="AB152" i="1"/>
  <c r="AB204" i="1"/>
  <c r="AB203" i="1"/>
  <c r="AB102" i="1"/>
  <c r="AG102" i="1"/>
  <c r="AB101" i="1"/>
  <c r="AG101" i="1"/>
  <c r="AB166" i="1"/>
  <c r="AB157" i="1"/>
  <c r="AB146" i="1"/>
  <c r="F11" i="5"/>
  <c r="F10" i="5"/>
  <c r="AB54" i="1"/>
  <c r="AG54" i="1"/>
  <c r="AB149" i="1"/>
  <c r="AG149" i="1"/>
  <c r="AB57" i="1"/>
  <c r="AG57" i="1"/>
  <c r="AB148" i="1"/>
  <c r="AB52" i="1"/>
  <c r="AG52" i="1"/>
  <c r="AB48" i="1"/>
  <c r="AG48" i="1"/>
  <c r="AB108" i="1"/>
  <c r="AG108" i="1"/>
  <c r="AB170" i="1"/>
  <c r="AB96" i="1"/>
  <c r="AG96" i="1"/>
  <c r="AC22" i="1"/>
  <c r="AG191" i="1"/>
  <c r="AG208" i="1"/>
  <c r="AG209" i="1"/>
  <c r="AG212" i="1"/>
  <c r="AG186" i="1"/>
  <c r="AF20" i="1"/>
  <c r="F58" i="5"/>
  <c r="F12" i="5"/>
  <c r="F68" i="5"/>
  <c r="F15" i="5"/>
  <c r="F16" i="5"/>
  <c r="F17" i="5"/>
  <c r="F18" i="5"/>
  <c r="F69" i="5"/>
  <c r="F70" i="5"/>
  <c r="F19" i="5"/>
  <c r="F20" i="5"/>
  <c r="F65" i="5"/>
  <c r="F55" i="5"/>
  <c r="F86" i="5"/>
  <c r="F83" i="5"/>
  <c r="F85" i="5"/>
  <c r="F87" i="5"/>
  <c r="F84" i="5"/>
  <c r="F88" i="5"/>
  <c r="F89" i="5"/>
  <c r="F90" i="5"/>
  <c r="F7" i="5"/>
  <c r="F6" i="5"/>
  <c r="F8" i="5"/>
  <c r="F9" i="5"/>
  <c r="F64" i="5"/>
  <c r="F66" i="5"/>
  <c r="AB87" i="1"/>
  <c r="AG87" i="1"/>
  <c r="AB88" i="1"/>
  <c r="AG88" i="1"/>
  <c r="AB90" i="1"/>
  <c r="AG90" i="1"/>
  <c r="I48" i="4"/>
  <c r="X7" i="4"/>
  <c r="I47" i="4"/>
  <c r="AB153" i="1"/>
  <c r="E20" i="1"/>
  <c r="T22" i="1"/>
  <c r="AG4" i="1"/>
  <c r="AB84" i="1"/>
  <c r="AG84" i="1"/>
  <c r="AB82" i="1"/>
  <c r="AG82" i="1"/>
  <c r="AB173" i="1"/>
  <c r="AB80" i="1"/>
  <c r="AG80" i="1"/>
  <c r="AB36" i="1"/>
  <c r="AG36" i="1"/>
  <c r="AB208" i="1"/>
  <c r="AB186" i="1"/>
  <c r="AB191" i="1"/>
  <c r="AB65" i="1"/>
  <c r="AG65" i="1"/>
  <c r="AB212" i="1"/>
  <c r="AB209" i="1"/>
  <c r="AG75" i="1"/>
  <c r="AB175" i="1"/>
  <c r="AB69" i="1"/>
  <c r="AG69" i="1"/>
  <c r="AB92" i="1"/>
  <c r="AG92" i="1"/>
  <c r="AB86" i="1"/>
  <c r="AG86" i="1"/>
  <c r="AB70" i="1"/>
  <c r="AG70" i="1"/>
  <c r="AB64" i="1"/>
  <c r="AG64" i="1"/>
  <c r="AB58" i="1"/>
  <c r="AG58" i="1"/>
  <c r="AB49" i="1"/>
  <c r="AG49" i="1"/>
  <c r="AB40" i="1"/>
  <c r="AG40" i="1"/>
  <c r="E69" i="1"/>
  <c r="E70" i="1"/>
  <c r="E155" i="1"/>
  <c r="E81" i="1"/>
  <c r="E58" i="1"/>
  <c r="E97" i="1"/>
  <c r="E172" i="1"/>
  <c r="E160" i="1"/>
  <c r="E109" i="1"/>
  <c r="E103" i="1"/>
  <c r="E173" i="1"/>
  <c r="E197" i="1"/>
  <c r="E96" i="1"/>
  <c r="E80" i="1"/>
  <c r="E100" i="1"/>
  <c r="E121" i="1"/>
  <c r="E91" i="1"/>
  <c r="E41" i="1"/>
  <c r="E161" i="1"/>
  <c r="E108" i="1"/>
  <c r="E74" i="1"/>
  <c r="E196" i="1"/>
  <c r="E54" i="1"/>
  <c r="E40" i="1"/>
  <c r="E92" i="1"/>
  <c r="E62" i="1"/>
  <c r="E206" i="1"/>
  <c r="E122" i="1"/>
  <c r="E157" i="1"/>
  <c r="E164" i="1"/>
  <c r="E151" i="1"/>
  <c r="E190" i="1"/>
  <c r="E195" i="1"/>
  <c r="E67" i="1"/>
  <c r="E63" i="1"/>
  <c r="E39" i="1"/>
  <c r="E52" i="1"/>
  <c r="E177" i="1"/>
  <c r="E187" i="1"/>
  <c r="E184" i="1"/>
  <c r="E86" i="1"/>
  <c r="E57" i="1"/>
  <c r="E90" i="1"/>
  <c r="E194" i="1"/>
  <c r="E189" i="1"/>
  <c r="E159" i="1"/>
  <c r="E104" i="1"/>
  <c r="E213" i="1"/>
  <c r="E135" i="1"/>
  <c r="E203" i="1"/>
  <c r="E101" i="1"/>
  <c r="E169" i="1"/>
  <c r="E204" i="1"/>
  <c r="E192" i="1"/>
  <c r="E61" i="1"/>
  <c r="E38" i="1"/>
  <c r="E147" i="1"/>
  <c r="E188" i="1"/>
  <c r="E44" i="1"/>
  <c r="E85" i="1"/>
  <c r="E174" i="1"/>
  <c r="E50" i="1"/>
  <c r="E148" i="1"/>
  <c r="E162" i="1"/>
  <c r="E207" i="1"/>
  <c r="E198" i="1"/>
  <c r="E118" i="1"/>
  <c r="E82" i="1"/>
  <c r="E36" i="1"/>
  <c r="E149" i="1"/>
  <c r="E9" i="1"/>
  <c r="E107" i="1"/>
  <c r="E176" i="1"/>
  <c r="E83" i="1"/>
  <c r="E43" i="1"/>
  <c r="E183" i="1"/>
  <c r="E76" i="1"/>
  <c r="E99" i="1"/>
  <c r="E133" i="1"/>
  <c r="E72" i="1"/>
  <c r="E168" i="1"/>
  <c r="E13" i="1"/>
  <c r="E94" i="1"/>
  <c r="E55" i="1"/>
  <c r="E106" i="1"/>
  <c r="E53" i="1"/>
  <c r="E210" i="1"/>
  <c r="E71" i="1"/>
  <c r="E66" i="1"/>
  <c r="E49" i="1"/>
  <c r="E112" i="1"/>
  <c r="E79" i="1"/>
  <c r="E209" i="1"/>
  <c r="E186" i="1"/>
  <c r="E201" i="1"/>
  <c r="E129" i="1"/>
  <c r="E117" i="1"/>
  <c r="E48" i="1"/>
  <c r="E205" i="1"/>
  <c r="E211" i="1"/>
  <c r="E130" i="1"/>
  <c r="E175" i="1"/>
  <c r="E152" i="1"/>
  <c r="E45" i="1"/>
  <c r="E191" i="1"/>
  <c r="E136" i="1"/>
  <c r="E93" i="1"/>
  <c r="E64" i="1"/>
  <c r="E115" i="1"/>
  <c r="E102" i="1"/>
  <c r="E84" i="1"/>
  <c r="E134" i="1"/>
  <c r="E193" i="1"/>
  <c r="E156" i="1"/>
  <c r="E51" i="1"/>
  <c r="E128" i="1"/>
  <c r="E60" i="1"/>
  <c r="E42" i="1"/>
  <c r="E111" i="1"/>
  <c r="E165" i="1"/>
  <c r="E208" i="1"/>
  <c r="E124" i="1"/>
  <c r="E145" i="1"/>
  <c r="E88" i="1"/>
  <c r="E116" i="1"/>
  <c r="E65" i="1"/>
  <c r="E166" i="1"/>
  <c r="E137" i="1"/>
  <c r="E98" i="1"/>
  <c r="E110" i="1"/>
  <c r="E68" i="1"/>
  <c r="E77" i="1"/>
  <c r="E87" i="1"/>
  <c r="E59" i="1"/>
  <c r="E89" i="1"/>
  <c r="E75" i="1"/>
  <c r="E138" i="1"/>
  <c r="E95" i="1"/>
  <c r="E200" i="1"/>
  <c r="E163" i="1"/>
  <c r="E114" i="1"/>
  <c r="E46" i="1"/>
  <c r="E170" i="1"/>
  <c r="E123" i="1"/>
  <c r="E120" i="1"/>
  <c r="E212" i="1"/>
  <c r="E185" i="1"/>
  <c r="E202" i="1"/>
  <c r="E127" i="1"/>
  <c r="E146" i="1"/>
  <c r="E131" i="1"/>
  <c r="E14" i="1"/>
  <c r="E153" i="1"/>
  <c r="E47" i="1"/>
  <c r="E150" i="1"/>
  <c r="E125" i="1"/>
  <c r="E12" i="1"/>
  <c r="E78" i="1"/>
  <c r="E171" i="1"/>
  <c r="E154" i="1"/>
  <c r="E158" i="1"/>
  <c r="E167" i="1"/>
  <c r="E37" i="1"/>
  <c r="E113" i="1"/>
  <c r="E56" i="1"/>
  <c r="E126" i="1"/>
  <c r="E18" i="1"/>
  <c r="E10" i="1"/>
  <c r="E73" i="1"/>
  <c r="E105" i="1"/>
  <c r="E16" i="1"/>
  <c r="E17" i="1"/>
  <c r="E119" i="1" l="1"/>
  <c r="E15" i="1"/>
  <c r="U140" i="1"/>
  <c r="O22" i="1"/>
  <c r="P22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<sst xmlns="http://schemas.openxmlformats.org/spreadsheetml/2006/main" count="4033" uniqueCount="2186">
  <si>
    <t>Documents Nécessaire pour badge</t>
  </si>
  <si>
    <t>Photo identité type CNI ou PST (jpg)</t>
  </si>
  <si>
    <t>Copie Carte Nationale d'identité ou Passeport ou Carte de séjour (pdf)</t>
  </si>
  <si>
    <t>Nom/Prénom du Père et de la  Mère(jeune Fille)</t>
  </si>
  <si>
    <t>Adresse en France</t>
  </si>
  <si>
    <t>N° Téléphone</t>
  </si>
  <si>
    <t>Adresse Mail</t>
  </si>
  <si>
    <t xml:space="preserve">Si depuis moins de cinq ans en France, nécessite extrait casier du pays </t>
  </si>
  <si>
    <t xml:space="preserve">Attestation Formation </t>
  </si>
  <si>
    <t>Fonction exacte, type de contrat, date fin si CDD</t>
  </si>
  <si>
    <t>Documents Permis Piste T</t>
  </si>
  <si>
    <t>Permis de conduire (pdf)</t>
  </si>
  <si>
    <t>Formation permis piste</t>
  </si>
  <si>
    <t>Documents Véhicules</t>
  </si>
  <si>
    <t>Certificat immatriculation</t>
  </si>
  <si>
    <t>Attestation assurance</t>
  </si>
  <si>
    <t>Suivi des Documents pour Badges TCA</t>
  </si>
  <si>
    <t>AAO</t>
  </si>
  <si>
    <t xml:space="preserve"> 23 / 02244</t>
  </si>
  <si>
    <t>Balon</t>
  </si>
  <si>
    <t>Philippe</t>
  </si>
  <si>
    <t>Corsur 11.2.6</t>
  </si>
  <si>
    <t>11.2.2</t>
  </si>
  <si>
    <t>11.2.5</t>
  </si>
  <si>
    <t>Elasry</t>
  </si>
  <si>
    <t>Elmehdi</t>
  </si>
  <si>
    <t>Mpode</t>
  </si>
  <si>
    <t>Pierre-Berlin</t>
  </si>
  <si>
    <t>Zone</t>
  </si>
  <si>
    <t>Nom</t>
  </si>
  <si>
    <t>Prénom</t>
  </si>
  <si>
    <t>Date Naissance</t>
  </si>
  <si>
    <t>Age</t>
  </si>
  <si>
    <t>Adresse</t>
  </si>
  <si>
    <t>Mail</t>
  </si>
  <si>
    <t>Téléphone</t>
  </si>
  <si>
    <t>Pére</t>
  </si>
  <si>
    <t>Mère</t>
  </si>
  <si>
    <t>PHI</t>
  </si>
  <si>
    <t>PID</t>
  </si>
  <si>
    <t xml:space="preserve">Fonction </t>
  </si>
  <si>
    <t>Type</t>
  </si>
  <si>
    <t>Fin</t>
  </si>
  <si>
    <t>Formation Sureté</t>
  </si>
  <si>
    <t>A</t>
  </si>
  <si>
    <t>P</t>
  </si>
  <si>
    <t>MAN</t>
  </si>
  <si>
    <t>TRA</t>
  </si>
  <si>
    <t>GTE</t>
  </si>
  <si>
    <t>TRI</t>
  </si>
  <si>
    <t xml:space="preserve">Date Validation </t>
  </si>
  <si>
    <t>Date Renouvellement Prévisionnel</t>
  </si>
  <si>
    <t>N° Badge</t>
  </si>
  <si>
    <t>Formation permis Piste T</t>
  </si>
  <si>
    <t>Formation permis Secu-Piste</t>
  </si>
  <si>
    <t>Renouvellement</t>
  </si>
  <si>
    <t>Beck</t>
  </si>
  <si>
    <t>Lénaïc</t>
  </si>
  <si>
    <t>2 rue Jules Guesde</t>
  </si>
  <si>
    <t>Vitry Le François</t>
  </si>
  <si>
    <t>BECK</t>
  </si>
  <si>
    <t>Nicolas</t>
  </si>
  <si>
    <t>JOURNOT</t>
  </si>
  <si>
    <t>Valérie</t>
  </si>
  <si>
    <t>ok</t>
  </si>
  <si>
    <t>CNI</t>
  </si>
  <si>
    <t>Chaudronnier</t>
  </si>
  <si>
    <t>CDI</t>
  </si>
  <si>
    <t>TCA 11.2.6.2</t>
  </si>
  <si>
    <t>Choual</t>
  </si>
  <si>
    <t>Radoine</t>
  </si>
  <si>
    <t>0 rue Pierre Desproges</t>
  </si>
  <si>
    <t>Brest</t>
  </si>
  <si>
    <t>r.choual@razel-bec.fayat.com</t>
  </si>
  <si>
    <t>+33 7 86 52 85 99</t>
  </si>
  <si>
    <t>CHOUAL</t>
  </si>
  <si>
    <t>Mohamed</t>
  </si>
  <si>
    <t>SALHAMI</t>
  </si>
  <si>
    <t>Fatima</t>
  </si>
  <si>
    <t>QSE</t>
  </si>
  <si>
    <t>Defour</t>
  </si>
  <si>
    <t>François-Régis</t>
  </si>
  <si>
    <t>165 avenue Aristide Briand Bat B</t>
  </si>
  <si>
    <t>Cachan</t>
  </si>
  <si>
    <t>fr.defour@razel-bec.fayat.com</t>
  </si>
  <si>
    <t>+33 6 31 04 90 07</t>
  </si>
  <si>
    <t>DEFOUR</t>
  </si>
  <si>
    <t>Marc</t>
  </si>
  <si>
    <t>CHAFFARD</t>
  </si>
  <si>
    <t>Nathalie</t>
  </si>
  <si>
    <t>Ingénieur Travaux Méthode</t>
  </si>
  <si>
    <t>Djati Goumrassi</t>
  </si>
  <si>
    <t>Ahcene</t>
  </si>
  <si>
    <t>1 Chemin du Cordelet</t>
  </si>
  <si>
    <t>La Sabotterie</t>
  </si>
  <si>
    <t>DJATI</t>
  </si>
  <si>
    <t>Ali</t>
  </si>
  <si>
    <t>GOUMRASSI</t>
  </si>
  <si>
    <t>Baya</t>
  </si>
  <si>
    <t>Ok</t>
  </si>
  <si>
    <t>CS</t>
  </si>
  <si>
    <t>Mécanicien</t>
  </si>
  <si>
    <t>Douet</t>
  </si>
  <si>
    <t>Raphael</t>
  </si>
  <si>
    <t>3 rue du Fenetreau</t>
  </si>
  <si>
    <t>Saint Quantin de Rançanne</t>
  </si>
  <si>
    <t>r.douet@razel-bec.fayat.com</t>
  </si>
  <si>
    <t>+33 6 32 69 68 75</t>
  </si>
  <si>
    <t>DOUET</t>
  </si>
  <si>
    <t>René</t>
  </si>
  <si>
    <t>ROGUET</t>
  </si>
  <si>
    <t>Thérèse</t>
  </si>
  <si>
    <t>Responsable service Matériel</t>
  </si>
  <si>
    <t>Fournier</t>
  </si>
  <si>
    <t>Mickael</t>
  </si>
  <si>
    <t>8 rue de Jussey</t>
  </si>
  <si>
    <t>Gevigney-et-Mercey</t>
  </si>
  <si>
    <t>FOURNIER</t>
  </si>
  <si>
    <t>Gérard</t>
  </si>
  <si>
    <t>WEINBERGER</t>
  </si>
  <si>
    <t>Catherine</t>
  </si>
  <si>
    <t>Conducteur d'engins</t>
  </si>
  <si>
    <t>Hollebecque</t>
  </si>
  <si>
    <t>Patrick</t>
  </si>
  <si>
    <t>6 rue des thuyas</t>
  </si>
  <si>
    <t>Rom</t>
  </si>
  <si>
    <t>patrickhollebecque@gmail.com</t>
  </si>
  <si>
    <t>+33 6 03 62 09 44</t>
  </si>
  <si>
    <t>HOLLEBECQUE</t>
  </si>
  <si>
    <t xml:space="preserve">OLIVET </t>
  </si>
  <si>
    <t>Ginette</t>
  </si>
  <si>
    <t>Huot</t>
  </si>
  <si>
    <t>Jacques</t>
  </si>
  <si>
    <t>3 impasse des vignes de l'église</t>
  </si>
  <si>
    <t>Saint-Martin de Nigelles</t>
  </si>
  <si>
    <t>j.houot@razel-bec.fayat.com</t>
  </si>
  <si>
    <t>+33 6 44 20 75 26</t>
  </si>
  <si>
    <t>HUOT</t>
  </si>
  <si>
    <t>Emmanuel</t>
  </si>
  <si>
    <t>SALIN</t>
  </si>
  <si>
    <t>Frédérique</t>
  </si>
  <si>
    <t>Ingénieur Mécanicien Pal</t>
  </si>
  <si>
    <t>Oudina</t>
  </si>
  <si>
    <t>Hakim</t>
  </si>
  <si>
    <t>83T rue Louis Denoual</t>
  </si>
  <si>
    <t>Bornel</t>
  </si>
  <si>
    <t>oudina.hakim@gmail.com</t>
  </si>
  <si>
    <t>+33 6 04 65 64 53</t>
  </si>
  <si>
    <t>OUDINA</t>
  </si>
  <si>
    <t>BOUGHAITA</t>
  </si>
  <si>
    <t>Electricien</t>
  </si>
  <si>
    <t>Petit</t>
  </si>
  <si>
    <t>Terence</t>
  </si>
  <si>
    <t>1 rue de la prouse</t>
  </si>
  <si>
    <t>Sceysur Saône &amp; Saint-Albin</t>
  </si>
  <si>
    <t>m.petit@razel-bec.fayat.com</t>
  </si>
  <si>
    <t>+33 6 85 69 12 00</t>
  </si>
  <si>
    <t>PETIT</t>
  </si>
  <si>
    <t>Michel</t>
  </si>
  <si>
    <t>LE PROVOST</t>
  </si>
  <si>
    <t>Marie-Annick</t>
  </si>
  <si>
    <t>Technicien Laboratoire</t>
  </si>
  <si>
    <t>Traoré</t>
  </si>
  <si>
    <t>Ibrahima</t>
  </si>
  <si>
    <t>144 rue de Charenton</t>
  </si>
  <si>
    <t>Paris</t>
  </si>
  <si>
    <t>ibrahim.traore37@hotmail.com</t>
  </si>
  <si>
    <t xml:space="preserve">+33 6 27 17 97 97 </t>
  </si>
  <si>
    <t>TRAORE</t>
  </si>
  <si>
    <t>Siryki</t>
  </si>
  <si>
    <t>DEMBELE</t>
  </si>
  <si>
    <t>Minata</t>
  </si>
  <si>
    <t>Badge OK</t>
  </si>
  <si>
    <t xml:space="preserve">en rouge </t>
  </si>
  <si>
    <t>Litige services préfecture</t>
  </si>
  <si>
    <t>Prêt à retirer</t>
  </si>
  <si>
    <t>Traitement ADP</t>
  </si>
  <si>
    <t>Traitement Aude</t>
  </si>
  <si>
    <t>Formation réussie</t>
  </si>
  <si>
    <t>Inscrit Formation</t>
  </si>
  <si>
    <t>Pas de Badge Rouge Prévu</t>
  </si>
  <si>
    <t>Coût</t>
  </si>
  <si>
    <t>Alves Goundim de Sousa</t>
  </si>
  <si>
    <t>Karine</t>
  </si>
  <si>
    <t>30 rue des fillettes</t>
  </si>
  <si>
    <t>Aubervilliers</t>
  </si>
  <si>
    <t>NASCIMENTO DE SOUZA FILHO</t>
  </si>
  <si>
    <t>Clarindo</t>
  </si>
  <si>
    <t>ALVES GOUDIM</t>
  </si>
  <si>
    <t>Luciana</t>
  </si>
  <si>
    <t>PST</t>
  </si>
  <si>
    <t>Chargée Communication - Accueil</t>
  </si>
  <si>
    <t>Akhlaqi</t>
  </si>
  <si>
    <t>Nasrullah</t>
  </si>
  <si>
    <t>87 Boulevard de l'Oise</t>
  </si>
  <si>
    <t>Vauréal</t>
  </si>
  <si>
    <t>AKHLAQ</t>
  </si>
  <si>
    <t>Ahmad</t>
  </si>
  <si>
    <t>MORI</t>
  </si>
  <si>
    <t>Massoma</t>
  </si>
  <si>
    <t>Mineur Boiseur</t>
  </si>
  <si>
    <t>Anton</t>
  </si>
  <si>
    <t>3201 Route départementale 834</t>
  </si>
  <si>
    <t>Serres-Castets</t>
  </si>
  <si>
    <t>ANTON</t>
  </si>
  <si>
    <t>Célestin</t>
  </si>
  <si>
    <t>BLAVOETTE</t>
  </si>
  <si>
    <t>Françoise</t>
  </si>
  <si>
    <t>Chef déquipe</t>
  </si>
  <si>
    <t>Ardiot</t>
  </si>
  <si>
    <t>Laurence</t>
  </si>
  <si>
    <t>10 Domaine Butte à la Reine</t>
  </si>
  <si>
    <t>Palaiseau</t>
  </si>
  <si>
    <t>ARDIOT</t>
  </si>
  <si>
    <t>BERT</t>
  </si>
  <si>
    <t>Nicole</t>
  </si>
  <si>
    <t>Chargée Logistique</t>
  </si>
  <si>
    <t>100 Route de Mézériat</t>
  </si>
  <si>
    <t>Chaveyriat</t>
  </si>
  <si>
    <t>BALON</t>
  </si>
  <si>
    <t>INEICH</t>
  </si>
  <si>
    <t>Responsable Sûreté</t>
  </si>
  <si>
    <t>Baraté</t>
  </si>
  <si>
    <t>Pascal</t>
  </si>
  <si>
    <t>34 rue de Picpus</t>
  </si>
  <si>
    <t xml:space="preserve">BARATE </t>
  </si>
  <si>
    <t>Jean</t>
  </si>
  <si>
    <t>MORISSEAU</t>
  </si>
  <si>
    <t>Carmel</t>
  </si>
  <si>
    <t>Directeur Travaux Souterrains</t>
  </si>
  <si>
    <t>Barriga</t>
  </si>
  <si>
    <t>Laura</t>
  </si>
  <si>
    <t>20 chemin de la vallée</t>
  </si>
  <si>
    <t>Fontenay en Parisis</t>
  </si>
  <si>
    <t>BARRIGA</t>
  </si>
  <si>
    <t>Raul</t>
  </si>
  <si>
    <t>SAROT</t>
  </si>
  <si>
    <t>Corine</t>
  </si>
  <si>
    <t>Aide-Conducteur de Tvx</t>
  </si>
  <si>
    <t>Bayoud</t>
  </si>
  <si>
    <t>Rachid</t>
  </si>
  <si>
    <t>Appt 12 - 38 rue Lesueur</t>
  </si>
  <si>
    <t>Le Havre</t>
  </si>
  <si>
    <t xml:space="preserve">BAYOUD </t>
  </si>
  <si>
    <t>Driss</t>
  </si>
  <si>
    <t>HOULIT</t>
  </si>
  <si>
    <t>Responsable QSE</t>
  </si>
  <si>
    <t>Bechar</t>
  </si>
  <si>
    <t>Saïda</t>
  </si>
  <si>
    <t>7 allée du bourrelier</t>
  </si>
  <si>
    <t>Chelles</t>
  </si>
  <si>
    <t>BECHAR</t>
  </si>
  <si>
    <t>Rabah</t>
  </si>
  <si>
    <t>ABIDI</t>
  </si>
  <si>
    <t>Aziza</t>
  </si>
  <si>
    <t>Infirmière</t>
  </si>
  <si>
    <t>Begni</t>
  </si>
  <si>
    <t>Michaël</t>
  </si>
  <si>
    <t>17 rue de la chartrie</t>
  </si>
  <si>
    <t>Maisse</t>
  </si>
  <si>
    <t>BEGNI</t>
  </si>
  <si>
    <t>Robert</t>
  </si>
  <si>
    <t>BRUCHET</t>
  </si>
  <si>
    <t>Fabienne</t>
  </si>
  <si>
    <t>Chef d'atelier</t>
  </si>
  <si>
    <t>Ben Kaci</t>
  </si>
  <si>
    <t>Djamel</t>
  </si>
  <si>
    <t>5 allée des cailles</t>
  </si>
  <si>
    <t>Ussel</t>
  </si>
  <si>
    <t>BENKACI</t>
  </si>
  <si>
    <t>Mouloud</t>
  </si>
  <si>
    <t>ABIZAR</t>
  </si>
  <si>
    <t>Ourdia</t>
  </si>
  <si>
    <t>cs</t>
  </si>
  <si>
    <t>Topographe</t>
  </si>
  <si>
    <t>Bernardo</t>
  </si>
  <si>
    <t>Gabriel</t>
  </si>
  <si>
    <t>25 rue de Valois</t>
  </si>
  <si>
    <t>Montigny-le-Bretonneux</t>
  </si>
  <si>
    <t>BERNARDO</t>
  </si>
  <si>
    <t>Leonel</t>
  </si>
  <si>
    <t>LIENHART</t>
  </si>
  <si>
    <t>Aude</t>
  </si>
  <si>
    <t>TFE</t>
  </si>
  <si>
    <t>CDD 02/26</t>
  </si>
  <si>
    <t>Boulfroy de Saint Aubin</t>
  </si>
  <si>
    <t>Antoine</t>
  </si>
  <si>
    <t>11 rue Pergolèse</t>
  </si>
  <si>
    <t>BOULFROY DE SAINT AUBIN</t>
  </si>
  <si>
    <t>Francis</t>
  </si>
  <si>
    <t>BACHELIER</t>
  </si>
  <si>
    <t>Elisabeth</t>
  </si>
  <si>
    <t>Directeur QSE</t>
  </si>
  <si>
    <t>Bourgault</t>
  </si>
  <si>
    <t>Frédéric</t>
  </si>
  <si>
    <t>687 chemin d'Epeyssoles</t>
  </si>
  <si>
    <t>Vonnas</t>
  </si>
  <si>
    <t>BOURGAULT</t>
  </si>
  <si>
    <t>Claude</t>
  </si>
  <si>
    <t>CREPIN</t>
  </si>
  <si>
    <t>Sylviane</t>
  </si>
  <si>
    <t>Directeur Projet</t>
  </si>
  <si>
    <t>Bouzazi</t>
  </si>
  <si>
    <t>Faicel</t>
  </si>
  <si>
    <t>7 rue Jules Ferry</t>
  </si>
  <si>
    <t>Portes les Valence</t>
  </si>
  <si>
    <t>BOUZAZI</t>
  </si>
  <si>
    <t>AKRI</t>
  </si>
  <si>
    <t>Stiti</t>
  </si>
  <si>
    <t>Coffreur</t>
  </si>
  <si>
    <t>Bouzekraoui</t>
  </si>
  <si>
    <t>30 rue Henri Cretté</t>
  </si>
  <si>
    <t>Chevilly-Larue</t>
  </si>
  <si>
    <t>BOUZEKRAOUI</t>
  </si>
  <si>
    <t>Mustapha</t>
  </si>
  <si>
    <t>BOUCHAQOUR</t>
  </si>
  <si>
    <t>Nabila</t>
  </si>
  <si>
    <t>Ingénieur SSEQ</t>
  </si>
  <si>
    <t>Cadalen</t>
  </si>
  <si>
    <t>Jean-Michel</t>
  </si>
  <si>
    <t>227 rue de l'Armegal</t>
  </si>
  <si>
    <t>Paulhan</t>
  </si>
  <si>
    <t>CADALEN</t>
  </si>
  <si>
    <t>JEANSON</t>
  </si>
  <si>
    <t>???</t>
  </si>
  <si>
    <t>Cerisier</t>
  </si>
  <si>
    <t>Alain</t>
  </si>
  <si>
    <t>23 rue Vanel</t>
  </si>
  <si>
    <t>L'Hay les Roses</t>
  </si>
  <si>
    <t>CERISIER</t>
  </si>
  <si>
    <t>Henri</t>
  </si>
  <si>
    <t>DOOS</t>
  </si>
  <si>
    <t>Marceline</t>
  </si>
  <si>
    <t>Cestero</t>
  </si>
  <si>
    <t>Thibaut</t>
  </si>
  <si>
    <t>1 rue Luigi Galvani</t>
  </si>
  <si>
    <t>CESTERO</t>
  </si>
  <si>
    <t>Pascual</t>
  </si>
  <si>
    <t>BRAGEUL</t>
  </si>
  <si>
    <t>Martine</t>
  </si>
  <si>
    <t>Directeur de Production</t>
  </si>
  <si>
    <t>Chapon</t>
  </si>
  <si>
    <t>Laurent</t>
  </si>
  <si>
    <t>19 rue Beethoven</t>
  </si>
  <si>
    <t>Saint-Arnoult en Yvelines</t>
  </si>
  <si>
    <t>CHAPON</t>
  </si>
  <si>
    <t>Louis</t>
  </si>
  <si>
    <t>LAMOUREUX</t>
  </si>
  <si>
    <t>Marie-Léone</t>
  </si>
  <si>
    <t>Directeur Exploitation Matériel</t>
  </si>
  <si>
    <t>Cherifi</t>
  </si>
  <si>
    <t>Killian</t>
  </si>
  <si>
    <t>28 rue Pierre Curie</t>
  </si>
  <si>
    <t>Saint-Gratien</t>
  </si>
  <si>
    <t>CHERIFI</t>
  </si>
  <si>
    <t>Fabrice</t>
  </si>
  <si>
    <t>AGUIAR</t>
  </si>
  <si>
    <t>Stagiaire Topo</t>
  </si>
  <si>
    <t>CDD</t>
  </si>
  <si>
    <t>Coelho Lourenço Rodrigues</t>
  </si>
  <si>
    <t>Ivo</t>
  </si>
  <si>
    <t>5 Avenue de la gare</t>
  </si>
  <si>
    <t>Juillan</t>
  </si>
  <si>
    <t>LOURENCO RODRIGUES</t>
  </si>
  <si>
    <t>José</t>
  </si>
  <si>
    <t>DE SOUZA COELHO</t>
  </si>
  <si>
    <t>Maria</t>
  </si>
  <si>
    <t>non</t>
  </si>
  <si>
    <t>Corbetta</t>
  </si>
  <si>
    <t>François</t>
  </si>
  <si>
    <t>2A rue Laurent Gadet</t>
  </si>
  <si>
    <t>Le Chesnay-Rocquencourt</t>
  </si>
  <si>
    <t>CORBETTA</t>
  </si>
  <si>
    <t>Alexandre</t>
  </si>
  <si>
    <t>SARTORE</t>
  </si>
  <si>
    <t>Liliane</t>
  </si>
  <si>
    <t>Directeur Géotechnique</t>
  </si>
  <si>
    <t>NON</t>
  </si>
  <si>
    <t>Cotillon</t>
  </si>
  <si>
    <t>Bruno</t>
  </si>
  <si>
    <t>Les Presles</t>
  </si>
  <si>
    <t>Villié-Morgon</t>
  </si>
  <si>
    <t>COTILLON</t>
  </si>
  <si>
    <t>TRICHARD</t>
  </si>
  <si>
    <t>Odette</t>
  </si>
  <si>
    <t>Chef de Chantier</t>
  </si>
  <si>
    <t>Da Silva Oliveira</t>
  </si>
  <si>
    <t>Filipe</t>
  </si>
  <si>
    <t xml:space="preserve">3 rue des jardins de l'Auget </t>
  </si>
  <si>
    <t>Vesly</t>
  </si>
  <si>
    <t>ALVES DE OLIVEIRA</t>
  </si>
  <si>
    <t>José Mario</t>
  </si>
  <si>
    <t>DA SILVA PIAIRO</t>
  </si>
  <si>
    <t>Teresa Maria</t>
  </si>
  <si>
    <t>Dahmani</t>
  </si>
  <si>
    <t>14 rue de l'échange</t>
  </si>
  <si>
    <t>Amiens</t>
  </si>
  <si>
    <t>DAHMANI</t>
  </si>
  <si>
    <t>Larbi</t>
  </si>
  <si>
    <t>BENMELOUKA</t>
  </si>
  <si>
    <t>Aïcha</t>
  </si>
  <si>
    <t>De Almeida Clara Atiningi</t>
  </si>
  <si>
    <t>Indra</t>
  </si>
  <si>
    <t>16 Rue Ernest Chesneau</t>
  </si>
  <si>
    <t>Montlhéry</t>
  </si>
  <si>
    <t>ATININGI</t>
  </si>
  <si>
    <t>MAMBOTE NTOMBA</t>
  </si>
  <si>
    <t>Monique</t>
  </si>
  <si>
    <t>Ingénieure Matériel</t>
  </si>
  <si>
    <t>De Almeida Pina</t>
  </si>
  <si>
    <t>Humberto</t>
  </si>
  <si>
    <t>35 rue avenue de l'albatros - Les constellations Apt 25</t>
  </si>
  <si>
    <t>Saint-Hilaire de Riez</t>
  </si>
  <si>
    <t>SOARES DE PINA</t>
  </si>
  <si>
    <t>Armindo</t>
  </si>
  <si>
    <t>SOARES DE ALMEIDA</t>
  </si>
  <si>
    <t>Marinha do Carmo</t>
  </si>
  <si>
    <t>Chef Topographie</t>
  </si>
  <si>
    <t>Da Cruz Roca</t>
  </si>
  <si>
    <t>2 résidence de la vieille vigne</t>
  </si>
  <si>
    <t>Igny</t>
  </si>
  <si>
    <t>DA CRUZ ROCA</t>
  </si>
  <si>
    <t>Americo</t>
  </si>
  <si>
    <t>DA CRUZ</t>
  </si>
  <si>
    <t>Régina</t>
  </si>
  <si>
    <t>Ingénieur Travaux</t>
  </si>
  <si>
    <t>Daegle</t>
  </si>
  <si>
    <t>Thierry</t>
  </si>
  <si>
    <t>48 chemin de Gendriac</t>
  </si>
  <si>
    <t>Le Puy en Velay</t>
  </si>
  <si>
    <t>DAEGLE</t>
  </si>
  <si>
    <t>Richard</t>
  </si>
  <si>
    <t>PROVENDIER</t>
  </si>
  <si>
    <t>Chantal</t>
  </si>
  <si>
    <t>Directeur Technique</t>
  </si>
  <si>
    <t>Deroo</t>
  </si>
  <si>
    <t>Jean-Luc</t>
  </si>
  <si>
    <t>10 Rue Speye Straete</t>
  </si>
  <si>
    <t>Cappelle Brouck</t>
  </si>
  <si>
    <t>DEROO</t>
  </si>
  <si>
    <t>Jean-Claude</t>
  </si>
  <si>
    <t>GUERLET</t>
  </si>
  <si>
    <t>Adjoint resp matériel site</t>
  </si>
  <si>
    <t>Desplan</t>
  </si>
  <si>
    <t>Dimitry</t>
  </si>
  <si>
    <t>24 rue de longpont</t>
  </si>
  <si>
    <t>DESPLAN</t>
  </si>
  <si>
    <t>Simon</t>
  </si>
  <si>
    <t>JUDITH</t>
  </si>
  <si>
    <t>Gitane</t>
  </si>
  <si>
    <t>Dias</t>
  </si>
  <si>
    <t>8 avenue des edelweiss</t>
  </si>
  <si>
    <t>Pontault-Combault</t>
  </si>
  <si>
    <t>DIAS</t>
  </si>
  <si>
    <t>Jean-François</t>
  </si>
  <si>
    <t>CAZELLES</t>
  </si>
  <si>
    <t>Sandrine</t>
  </si>
  <si>
    <t>Djemai</t>
  </si>
  <si>
    <t>Mohammed Riyadh</t>
  </si>
  <si>
    <t>60bis Avenue Winston Churchill</t>
  </si>
  <si>
    <t>Sucy en Brie</t>
  </si>
  <si>
    <t>DJMAI</t>
  </si>
  <si>
    <t>BENBOUABDELLAH</t>
  </si>
  <si>
    <t>Dhaouia</t>
  </si>
  <si>
    <t>Responsable Technique</t>
  </si>
  <si>
    <t>Pierre-Emmanuel</t>
  </si>
  <si>
    <t>9 rue des Halles</t>
  </si>
  <si>
    <t>Nantes</t>
  </si>
  <si>
    <t>Automaticien</t>
  </si>
  <si>
    <t>17 rue sansonnières</t>
  </si>
  <si>
    <t>Orléans</t>
  </si>
  <si>
    <t>ELASRY</t>
  </si>
  <si>
    <t>Elmostafa</t>
  </si>
  <si>
    <t>AMAL</t>
  </si>
  <si>
    <t>Rkia</t>
  </si>
  <si>
    <t>Fatien</t>
  </si>
  <si>
    <t>Christophe</t>
  </si>
  <si>
    <t>3 rue Pasteur</t>
  </si>
  <si>
    <t>Jumel</t>
  </si>
  <si>
    <t>FATIEN</t>
  </si>
  <si>
    <t>LABRO</t>
  </si>
  <si>
    <t>Mécanicen</t>
  </si>
  <si>
    <t>Favin-Lévêque</t>
  </si>
  <si>
    <t>Thibault</t>
  </si>
  <si>
    <t>11 rue Oberkampf</t>
  </si>
  <si>
    <t>Jouy-en-Josas</t>
  </si>
  <si>
    <t>thibault.favin-leveque@universite-paris-saclay.fr</t>
  </si>
  <si>
    <t>+33 6 99 74 97 18</t>
  </si>
  <si>
    <t>FAVIN-LEVEQUE</t>
  </si>
  <si>
    <t>Eric</t>
  </si>
  <si>
    <t>GUYOT-SIONNET</t>
  </si>
  <si>
    <t>Stagiaire Ingénieur</t>
  </si>
  <si>
    <t>CDD 04/26</t>
  </si>
  <si>
    <t>Ferrec</t>
  </si>
  <si>
    <t>James</t>
  </si>
  <si>
    <t>12 avenue de la gare</t>
  </si>
  <si>
    <t>Beynes</t>
  </si>
  <si>
    <t>FERREC</t>
  </si>
  <si>
    <t>Pierre</t>
  </si>
  <si>
    <t>WILLEY</t>
  </si>
  <si>
    <t>Julia</t>
  </si>
  <si>
    <t>Fertani</t>
  </si>
  <si>
    <t>Mathias</t>
  </si>
  <si>
    <t>42 rue de Coubron</t>
  </si>
  <si>
    <t>Vaujours</t>
  </si>
  <si>
    <t>FERTANI</t>
  </si>
  <si>
    <t>Mounir</t>
  </si>
  <si>
    <t>FETU</t>
  </si>
  <si>
    <t>Louise</t>
  </si>
  <si>
    <t>Ingénieur Travaux - Méthodes</t>
  </si>
  <si>
    <t>Gaudry</t>
  </si>
  <si>
    <t>Didier</t>
  </si>
  <si>
    <t>17 route de Chalons</t>
  </si>
  <si>
    <t>Mervans</t>
  </si>
  <si>
    <t>GAUDRY</t>
  </si>
  <si>
    <t>Auguste</t>
  </si>
  <si>
    <t>MOREL</t>
  </si>
  <si>
    <t>Yvette</t>
  </si>
  <si>
    <t>Geara</t>
  </si>
  <si>
    <t>87 rue Baudricourt</t>
  </si>
  <si>
    <t>GEARA</t>
  </si>
  <si>
    <t>Fadi</t>
  </si>
  <si>
    <t>EL TAHECH</t>
  </si>
  <si>
    <t>Feyrouz</t>
  </si>
  <si>
    <t>Goundiam</t>
  </si>
  <si>
    <t>Samba</t>
  </si>
  <si>
    <t>40 rue Georges Seurat</t>
  </si>
  <si>
    <t>Aulnay sous Bois</t>
  </si>
  <si>
    <t>GOUNDIAM</t>
  </si>
  <si>
    <t>Tama</t>
  </si>
  <si>
    <t>SACKO</t>
  </si>
  <si>
    <t>Sendy</t>
  </si>
  <si>
    <t>Grondin</t>
  </si>
  <si>
    <t>Guillaume</t>
  </si>
  <si>
    <t>3 rue Roger Salengro</t>
  </si>
  <si>
    <t>Villetaneuse</t>
  </si>
  <si>
    <t>SANS</t>
  </si>
  <si>
    <t>GRONDIN</t>
  </si>
  <si>
    <t>Marie Lucie</t>
  </si>
  <si>
    <t>Chef mécanicien</t>
  </si>
  <si>
    <t>Hamonet</t>
  </si>
  <si>
    <t>Vincent</t>
  </si>
  <si>
    <t>4 Ter rue de la porte dorée</t>
  </si>
  <si>
    <t>Levis Saint Nom</t>
  </si>
  <si>
    <t>HAMONET</t>
  </si>
  <si>
    <t>SARAROLS</t>
  </si>
  <si>
    <t>Rose</t>
  </si>
  <si>
    <t>Ecologue</t>
  </si>
  <si>
    <t>Hbarrou</t>
  </si>
  <si>
    <t>Youssef</t>
  </si>
  <si>
    <t>74bis route de Lodève Résidence les pins 2</t>
  </si>
  <si>
    <t>Montpellier</t>
  </si>
  <si>
    <t>HBARROU</t>
  </si>
  <si>
    <t>Abdelslam</t>
  </si>
  <si>
    <t>AZAAR</t>
  </si>
  <si>
    <t>Naziha</t>
  </si>
  <si>
    <t>Hdidouane</t>
  </si>
  <si>
    <t>Ilham</t>
  </si>
  <si>
    <t>Appt 219 - 253 Avenue Général Leclerc</t>
  </si>
  <si>
    <t>Maisons-Alfort</t>
  </si>
  <si>
    <t>HDIDOUANE</t>
  </si>
  <si>
    <t>HACHIMI</t>
  </si>
  <si>
    <t>Akbira</t>
  </si>
  <si>
    <t>Ingénieure Environnement</t>
  </si>
  <si>
    <t>Hemard</t>
  </si>
  <si>
    <t>Alexis</t>
  </si>
  <si>
    <t>27 rue Auguste Bartholdi</t>
  </si>
  <si>
    <t>Tomblaine</t>
  </si>
  <si>
    <t>HEMARD</t>
  </si>
  <si>
    <t>Patrice</t>
  </si>
  <si>
    <t>MORIN</t>
  </si>
  <si>
    <t>Hghislaine</t>
  </si>
  <si>
    <t>Responsable matériel Adjoint</t>
  </si>
  <si>
    <t>Hijazi</t>
  </si>
  <si>
    <t>Yassine</t>
  </si>
  <si>
    <t>25B rue Poliveau</t>
  </si>
  <si>
    <t>HIJAZI</t>
  </si>
  <si>
    <t>Abdellah</t>
  </si>
  <si>
    <t>BENMOUSSA</t>
  </si>
  <si>
    <t>Malika</t>
  </si>
  <si>
    <t>VS</t>
  </si>
  <si>
    <t>Ingénieur Planning</t>
  </si>
  <si>
    <t>Hoareau</t>
  </si>
  <si>
    <t>Jean-Patrice</t>
  </si>
  <si>
    <t>8b rue David Moreau</t>
  </si>
  <si>
    <t>Saint-Benoît</t>
  </si>
  <si>
    <t>HOAREAU</t>
  </si>
  <si>
    <t>Benoit</t>
  </si>
  <si>
    <t>WELMANT-EVANGELISTE</t>
  </si>
  <si>
    <t>Responsable Service Electrique</t>
  </si>
  <si>
    <t>Hogrel</t>
  </si>
  <si>
    <t>1675 Route des Chasses</t>
  </si>
  <si>
    <t>Génissieux</t>
  </si>
  <si>
    <t xml:space="preserve">HOGREL </t>
  </si>
  <si>
    <t>Hugues</t>
  </si>
  <si>
    <t>SEVENET</t>
  </si>
  <si>
    <t>Marie Hélène</t>
  </si>
  <si>
    <t>Home</t>
  </si>
  <si>
    <t>1445 route des mures</t>
  </si>
  <si>
    <t>Ardoix</t>
  </si>
  <si>
    <t>HOME</t>
  </si>
  <si>
    <t>Jean-Pierre</t>
  </si>
  <si>
    <t>DOULET</t>
  </si>
  <si>
    <t>Kervarec</t>
  </si>
  <si>
    <t>Loïc</t>
  </si>
  <si>
    <t>915 Route de Touleyrou</t>
  </si>
  <si>
    <t>Issendolus</t>
  </si>
  <si>
    <t>KERVAREC</t>
  </si>
  <si>
    <t>Roger</t>
  </si>
  <si>
    <t>GAUTIER</t>
  </si>
  <si>
    <t>Annick</t>
  </si>
  <si>
    <t>Conducteur d'Engin</t>
  </si>
  <si>
    <t>Kress</t>
  </si>
  <si>
    <t>David</t>
  </si>
  <si>
    <t>21 rue du Lieutenant Combourg</t>
  </si>
  <si>
    <t>Kilstett</t>
  </si>
  <si>
    <t>KRESS</t>
  </si>
  <si>
    <t>GRATHWOHL</t>
  </si>
  <si>
    <t>Chargé Soutennement</t>
  </si>
  <si>
    <t>Labres</t>
  </si>
  <si>
    <t>Kaddour</t>
  </si>
  <si>
    <t>79 rue Roger Salengro</t>
  </si>
  <si>
    <t>Courrières</t>
  </si>
  <si>
    <t>LABRES</t>
  </si>
  <si>
    <t>Ghalem</t>
  </si>
  <si>
    <t>LOURGHI</t>
  </si>
  <si>
    <t>Responsable Logistique Matériel</t>
  </si>
  <si>
    <t>Lagoa</t>
  </si>
  <si>
    <t>Samuel</t>
  </si>
  <si>
    <t>610 Chemin du Baguier</t>
  </si>
  <si>
    <t>La Ciotat</t>
  </si>
  <si>
    <t>DA CONCEICAO LAGOA</t>
  </si>
  <si>
    <t>Ernesto</t>
  </si>
  <si>
    <t>FRAGOSO GOMES</t>
  </si>
  <si>
    <t>Ilda</t>
  </si>
  <si>
    <t>Lamarque</t>
  </si>
  <si>
    <t>Sophie</t>
  </si>
  <si>
    <t>104 rue Saint-Jean de Beauregard</t>
  </si>
  <si>
    <t>Gometz le Chatel</t>
  </si>
  <si>
    <t>LAMARQUE</t>
  </si>
  <si>
    <t>CHATELAIN</t>
  </si>
  <si>
    <t>Claudine</t>
  </si>
  <si>
    <t>Coordinatrice QSE DP</t>
  </si>
  <si>
    <t>Lasfargue</t>
  </si>
  <si>
    <t>9 place de Montélimar</t>
  </si>
  <si>
    <t>Toulouse</t>
  </si>
  <si>
    <t>LASFARGUE</t>
  </si>
  <si>
    <t>FELIU</t>
  </si>
  <si>
    <t>Francine</t>
  </si>
  <si>
    <t>Drecteur Travaux</t>
  </si>
  <si>
    <t>Lemaire</t>
  </si>
  <si>
    <t>12 rue de Villepoupin</t>
  </si>
  <si>
    <t>Voilliers sur Loir</t>
  </si>
  <si>
    <t>LEMAIRE</t>
  </si>
  <si>
    <t>CANIEZ</t>
  </si>
  <si>
    <t>Eliane</t>
  </si>
  <si>
    <t>Cdt Tvx principal</t>
  </si>
  <si>
    <t>Leroy</t>
  </si>
  <si>
    <t>20 rue Paul Bert</t>
  </si>
  <si>
    <t>LEROY</t>
  </si>
  <si>
    <t>Guy</t>
  </si>
  <si>
    <t>VERITE</t>
  </si>
  <si>
    <t>Claudie</t>
  </si>
  <si>
    <t>Conducteur Travaux Principal Trst</t>
  </si>
  <si>
    <t>Luquet</t>
  </si>
  <si>
    <t>20 rue de Villaré</t>
  </si>
  <si>
    <t>Citry</t>
  </si>
  <si>
    <t>LUQUET</t>
  </si>
  <si>
    <t>Cyrille</t>
  </si>
  <si>
    <t>MATURA</t>
  </si>
  <si>
    <t>Michèle</t>
  </si>
  <si>
    <t>Manojlovic</t>
  </si>
  <si>
    <t>13 rue Lucien Brunet</t>
  </si>
  <si>
    <t>MANOJLOVIC</t>
  </si>
  <si>
    <t>Dragan</t>
  </si>
  <si>
    <t>VINCENTIJEVIC</t>
  </si>
  <si>
    <t>Nadica</t>
  </si>
  <si>
    <t>Géométre</t>
  </si>
  <si>
    <t>Marques Monteiro</t>
  </si>
  <si>
    <t>Paulo David</t>
  </si>
  <si>
    <t>Rua Da Quintela 2BL3 DR</t>
  </si>
  <si>
    <t>4690-058</t>
  </si>
  <si>
    <t>Cinfaes (Portugal)</t>
  </si>
  <si>
    <t>PEREIRA MONTEIRO</t>
  </si>
  <si>
    <t>Henrique Paulo</t>
  </si>
  <si>
    <t>MAGALHAES MARQUES</t>
  </si>
  <si>
    <t>Sandra Manuela</t>
  </si>
  <si>
    <t>Technicien TP</t>
  </si>
  <si>
    <t>Marques Pereira</t>
  </si>
  <si>
    <t>Cédric</t>
  </si>
  <si>
    <t>59 Boulevard Roger Salengro</t>
  </si>
  <si>
    <t>Noisy le Sec</t>
  </si>
  <si>
    <t>MRAQUES PEREIRA</t>
  </si>
  <si>
    <t>CASTELEIRO DE JESUS</t>
  </si>
  <si>
    <t>Mercier</t>
  </si>
  <si>
    <t>556 chemin Pey Gaillard</t>
  </si>
  <si>
    <t xml:space="preserve"> Jouques</t>
  </si>
  <si>
    <t>MERCIER</t>
  </si>
  <si>
    <t>Daniel</t>
  </si>
  <si>
    <t>GOULY</t>
  </si>
  <si>
    <t>Jocelyne</t>
  </si>
  <si>
    <t>Directeur GC OA</t>
  </si>
  <si>
    <t>Moncieu</t>
  </si>
  <si>
    <t>Gaetan</t>
  </si>
  <si>
    <t>35 grand rue</t>
  </si>
  <si>
    <t>Lenoncourt</t>
  </si>
  <si>
    <t>MONCIEU</t>
  </si>
  <si>
    <t>Bernard</t>
  </si>
  <si>
    <t>ODET</t>
  </si>
  <si>
    <t>Marinette</t>
  </si>
  <si>
    <t>Monroc</t>
  </si>
  <si>
    <t>Dylan</t>
  </si>
  <si>
    <t>17 rue Alfred de Musset</t>
  </si>
  <si>
    <t>Stains</t>
  </si>
  <si>
    <t>MARIGNALE</t>
  </si>
  <si>
    <t>MONROC</t>
  </si>
  <si>
    <t>Sandra</t>
  </si>
  <si>
    <t>Conducteur PL</t>
  </si>
  <si>
    <t>Moreira Da Silva Sousa</t>
  </si>
  <si>
    <t>14 rue Louis Fouré Labrot</t>
  </si>
  <si>
    <t>DA SILVA RODRIGUES</t>
  </si>
  <si>
    <t>MOREIRA RODRIGUES</t>
  </si>
  <si>
    <t>Alcina</t>
  </si>
  <si>
    <t>Chef de poste Souterrain</t>
  </si>
  <si>
    <t>Morin</t>
  </si>
  <si>
    <t>Florent</t>
  </si>
  <si>
    <t>125 chemin de Saint-Vincent</t>
  </si>
  <si>
    <t>Tournon sur Rhône</t>
  </si>
  <si>
    <t>Denis</t>
  </si>
  <si>
    <t>BERRUYER</t>
  </si>
  <si>
    <t>Chef de poste</t>
  </si>
  <si>
    <t>23 rue de la grange aux moines</t>
  </si>
  <si>
    <t>Nanteuil-le-Haudouin</t>
  </si>
  <si>
    <t>b.mpode@razel-bec.fayat.com</t>
  </si>
  <si>
    <t>+33 7 82 84 85 24</t>
  </si>
  <si>
    <t>MINKA MPODE</t>
  </si>
  <si>
    <t>NGO MATEG</t>
  </si>
  <si>
    <t>Odile</t>
  </si>
  <si>
    <t>pst</t>
  </si>
  <si>
    <t>Ingénieur QSE</t>
  </si>
  <si>
    <t>Mugnier</t>
  </si>
  <si>
    <t>Arthur</t>
  </si>
  <si>
    <t>79 Boulevard de Strasbourg</t>
  </si>
  <si>
    <t>MUGNIER</t>
  </si>
  <si>
    <t>PINEAU</t>
  </si>
  <si>
    <t>Aliette</t>
  </si>
  <si>
    <t>Alternant Ingénieur</t>
  </si>
  <si>
    <t>Naceri</t>
  </si>
  <si>
    <t>Karim</t>
  </si>
  <si>
    <t>6 résidence des causses</t>
  </si>
  <si>
    <t>Millau</t>
  </si>
  <si>
    <t>NACERI</t>
  </si>
  <si>
    <t>Miloud</t>
  </si>
  <si>
    <t>SAFSAFI</t>
  </si>
  <si>
    <t>Zana</t>
  </si>
  <si>
    <t>Chef de chantier</t>
  </si>
  <si>
    <t>Parisot</t>
  </si>
  <si>
    <t>570 Chemin de Faillières</t>
  </si>
  <si>
    <t>Pompignan</t>
  </si>
  <si>
    <t>PARISOT</t>
  </si>
  <si>
    <t>LAVA</t>
  </si>
  <si>
    <t>Petitpas</t>
  </si>
  <si>
    <t>7 Avenue de la Guadeloupe</t>
  </si>
  <si>
    <t>Neuilly sur Argonne</t>
  </si>
  <si>
    <t>PETITPAS</t>
  </si>
  <si>
    <t>Jean-Paul</t>
  </si>
  <si>
    <t xml:space="preserve">PARENT </t>
  </si>
  <si>
    <t>Chef d'équipe</t>
  </si>
  <si>
    <t>Pisano</t>
  </si>
  <si>
    <t>3 Lotissement Maroselli</t>
  </si>
  <si>
    <t>Rutali</t>
  </si>
  <si>
    <t>PISANO</t>
  </si>
  <si>
    <t>POUSCHAT</t>
  </si>
  <si>
    <t>Planque</t>
  </si>
  <si>
    <t>Lieu dit la Grenouille</t>
  </si>
  <si>
    <t>Laudun-L'Ardoise</t>
  </si>
  <si>
    <t>PLANQUE</t>
  </si>
  <si>
    <t>HUREZ</t>
  </si>
  <si>
    <t>Pouemi Pouemi</t>
  </si>
  <si>
    <t>26 rue Jérôme Bonaparte</t>
  </si>
  <si>
    <t>Massy</t>
  </si>
  <si>
    <t>POEMI TCHOUTOUO</t>
  </si>
  <si>
    <t>Moise</t>
  </si>
  <si>
    <t>MEGHO</t>
  </si>
  <si>
    <t>Anne</t>
  </si>
  <si>
    <t>Ingénieur Géotechnicien</t>
  </si>
  <si>
    <t>Prudent</t>
  </si>
  <si>
    <t>Ismael</t>
  </si>
  <si>
    <t>2 rue Philippe Bonnet Laborderie</t>
  </si>
  <si>
    <t>Beauvais</t>
  </si>
  <si>
    <t>PRUDENT</t>
  </si>
  <si>
    <t>Albert</t>
  </si>
  <si>
    <t>JODEPH-AGATHE</t>
  </si>
  <si>
    <t>Simone</t>
  </si>
  <si>
    <t>Prybis</t>
  </si>
  <si>
    <t>Valentin</t>
  </si>
  <si>
    <t>13 bis rue du Perthuis</t>
  </si>
  <si>
    <t>Chevru</t>
  </si>
  <si>
    <t>PRYBIS</t>
  </si>
  <si>
    <t>RAGOT</t>
  </si>
  <si>
    <t>Ravel</t>
  </si>
  <si>
    <t>208 Avenue Croix Sopha</t>
  </si>
  <si>
    <t>Saint-Laurent de Chamousset</t>
  </si>
  <si>
    <t>RAVEL</t>
  </si>
  <si>
    <t>GALLIEN</t>
  </si>
  <si>
    <t>Sylvaine</t>
  </si>
  <si>
    <t>Géomètre</t>
  </si>
  <si>
    <t>Ricart</t>
  </si>
  <si>
    <t>46 rue Balard</t>
  </si>
  <si>
    <t>RICART</t>
  </si>
  <si>
    <t>DUCLAY</t>
  </si>
  <si>
    <t>Lucie</t>
  </si>
  <si>
    <t>Coordinateur Etude Travaux</t>
  </si>
  <si>
    <t>Rodrigues</t>
  </si>
  <si>
    <t>27 rue Cartier-Bresson</t>
  </si>
  <si>
    <t>Pantin</t>
  </si>
  <si>
    <t>RODRIGUES</t>
  </si>
  <si>
    <t>Antonio</t>
  </si>
  <si>
    <t>BARBOSA DA SILVA</t>
  </si>
  <si>
    <t>Agostinha</t>
  </si>
  <si>
    <t>Ruel</t>
  </si>
  <si>
    <t>Baptiste</t>
  </si>
  <si>
    <t>18 chemin de la bade basse</t>
  </si>
  <si>
    <t>Rieupeyroux</t>
  </si>
  <si>
    <t>RUEL</t>
  </si>
  <si>
    <t>Clément</t>
  </si>
  <si>
    <t>THIRIAU</t>
  </si>
  <si>
    <t>Armelle</t>
  </si>
  <si>
    <t>Alternance</t>
  </si>
  <si>
    <t>2/9/24 - 25/9/26</t>
  </si>
  <si>
    <t>Soidiki</t>
  </si>
  <si>
    <t>Nayoum</t>
  </si>
  <si>
    <t>7 rue Dussolie</t>
  </si>
  <si>
    <t>Dammartin en Goële</t>
  </si>
  <si>
    <t>SOIDIKI</t>
  </si>
  <si>
    <t>El Mounir</t>
  </si>
  <si>
    <t>SAID OMAR</t>
  </si>
  <si>
    <t>Rabouentie</t>
  </si>
  <si>
    <t>Spineux</t>
  </si>
  <si>
    <t>Olivier</t>
  </si>
  <si>
    <t>7 rampe de Fontarabie</t>
  </si>
  <si>
    <t>Bazas</t>
  </si>
  <si>
    <t>SPINEUX</t>
  </si>
  <si>
    <t>ASTRUC</t>
  </si>
  <si>
    <t>Emmanuelle</t>
  </si>
  <si>
    <t>Chef Mission Topo</t>
  </si>
  <si>
    <t>Sababady</t>
  </si>
  <si>
    <t>Jean-Fabrice</t>
  </si>
  <si>
    <t>14 lot du cap</t>
  </si>
  <si>
    <t>Sainte Anne</t>
  </si>
  <si>
    <t>SABABADY</t>
  </si>
  <si>
    <t>Edmond</t>
  </si>
  <si>
    <t>ANDAMAYE</t>
  </si>
  <si>
    <t>Marie-Thérése</t>
  </si>
  <si>
    <t>Chef életricien</t>
  </si>
  <si>
    <t>Silla</t>
  </si>
  <si>
    <t>Lassana</t>
  </si>
  <si>
    <t>130 rue de Belleville</t>
  </si>
  <si>
    <t>SILLA</t>
  </si>
  <si>
    <t>Mamadou</t>
  </si>
  <si>
    <t>CAMARA</t>
  </si>
  <si>
    <t>Diariatou</t>
  </si>
  <si>
    <t xml:space="preserve">375 chemin de l'Aberay </t>
  </si>
  <si>
    <t>Artas</t>
  </si>
  <si>
    <t>SIMON</t>
  </si>
  <si>
    <t>MARTINET-ANDRIEUX</t>
  </si>
  <si>
    <t>Paulette</t>
  </si>
  <si>
    <t>Smal</t>
  </si>
  <si>
    <t>Luc</t>
  </si>
  <si>
    <t>2 rue des arbousiers</t>
  </si>
  <si>
    <t>Moliets-et-Maa</t>
  </si>
  <si>
    <t>SMAL</t>
  </si>
  <si>
    <t>Noël</t>
  </si>
  <si>
    <t>LESTAVEL</t>
  </si>
  <si>
    <t>Responsable Matériel</t>
  </si>
  <si>
    <t>Sureau</t>
  </si>
  <si>
    <t>7 lieu dit le petitpin</t>
  </si>
  <si>
    <t>Montournais</t>
  </si>
  <si>
    <t>SUREAU</t>
  </si>
  <si>
    <t>BENARD</t>
  </si>
  <si>
    <t>Véronique</t>
  </si>
  <si>
    <t>Mineur Coffreur</t>
  </si>
  <si>
    <t>Swiercz</t>
  </si>
  <si>
    <t>Aldo Zbigniew</t>
  </si>
  <si>
    <t>5 Rue Louis Grandchavin</t>
  </si>
  <si>
    <t>Morez</t>
  </si>
  <si>
    <t>SWIERCZ</t>
  </si>
  <si>
    <t>Jozef</t>
  </si>
  <si>
    <t>PIOTROWSKA</t>
  </si>
  <si>
    <t>Stanislawa</t>
  </si>
  <si>
    <t>Mineur</t>
  </si>
  <si>
    <t>Sylla</t>
  </si>
  <si>
    <t>Momodouba Almamy</t>
  </si>
  <si>
    <t>Esc 2 Bat M Appt 98 Avenue de Bonnevaux</t>
  </si>
  <si>
    <t>Etampes</t>
  </si>
  <si>
    <t>SYLLA</t>
  </si>
  <si>
    <t>Almamy Abou</t>
  </si>
  <si>
    <t>Fatoumata</t>
  </si>
  <si>
    <t>OK</t>
  </si>
  <si>
    <t>Tanasi</t>
  </si>
  <si>
    <t>Franck</t>
  </si>
  <si>
    <t>87 avenue Magellan</t>
  </si>
  <si>
    <t>Créteil</t>
  </si>
  <si>
    <t>TANASI</t>
  </si>
  <si>
    <t>CAPO</t>
  </si>
  <si>
    <t>Francillette</t>
  </si>
  <si>
    <t>Chef de Poste</t>
  </si>
  <si>
    <t>Tarakdjian</t>
  </si>
  <si>
    <t>16 rue Eugénie Eboué</t>
  </si>
  <si>
    <t>Asnières sur Seine</t>
  </si>
  <si>
    <t>TARAKDJIAN</t>
  </si>
  <si>
    <t>YAZIDJIAN</t>
  </si>
  <si>
    <t>Sona</t>
  </si>
  <si>
    <t>Toucas</t>
  </si>
  <si>
    <t>Mikael</t>
  </si>
  <si>
    <t>5 rue de la tour</t>
  </si>
  <si>
    <t>Meudon</t>
  </si>
  <si>
    <t>TOUCAS</t>
  </si>
  <si>
    <t xml:space="preserve">GARNERET </t>
  </si>
  <si>
    <t>Olivia</t>
  </si>
  <si>
    <t>Projeteur</t>
  </si>
  <si>
    <t>Tremolieres</t>
  </si>
  <si>
    <t>65 bis rue de la fougeraie</t>
  </si>
  <si>
    <t>TREMOLIERES</t>
  </si>
  <si>
    <t>MOULIS</t>
  </si>
  <si>
    <t>Vaillant</t>
  </si>
  <si>
    <t>Anaïs</t>
  </si>
  <si>
    <t>15 rue de la liberté</t>
  </si>
  <si>
    <t>Cherbourg en Cotentin</t>
  </si>
  <si>
    <t>anais.vaillant13@gmail.com</t>
  </si>
  <si>
    <t>+33 6 87 99 96 47</t>
  </si>
  <si>
    <t>VAILLANT</t>
  </si>
  <si>
    <t>GRANDMENIL</t>
  </si>
  <si>
    <t>Isabelle</t>
  </si>
  <si>
    <t>CDD 16/03</t>
  </si>
  <si>
    <t>Vaz Alexandre</t>
  </si>
  <si>
    <t>Andréa</t>
  </si>
  <si>
    <t>20 rue Berteaux Dumas</t>
  </si>
  <si>
    <t>Neuilly sur Seine</t>
  </si>
  <si>
    <t>AFONSO ALEXANDRE</t>
  </si>
  <si>
    <t>Telmo Manuel</t>
  </si>
  <si>
    <t>PIRES VAZ</t>
  </si>
  <si>
    <t>Maria Florence</t>
  </si>
  <si>
    <t>RRH Chantier</t>
  </si>
  <si>
    <t>Verbeke</t>
  </si>
  <si>
    <t>Roland</t>
  </si>
  <si>
    <t>28 rue du Caroux</t>
  </si>
  <si>
    <t>Cers</t>
  </si>
  <si>
    <t>VERBEKE</t>
  </si>
  <si>
    <t>Adriel</t>
  </si>
  <si>
    <t>DECLERCQ</t>
  </si>
  <si>
    <t>Micheline</t>
  </si>
  <si>
    <t>Villedary</t>
  </si>
  <si>
    <t>9 rue du Chatelard</t>
  </si>
  <si>
    <t>Confolens</t>
  </si>
  <si>
    <t>VILLEDARY</t>
  </si>
  <si>
    <t>Jean-Jacques</t>
  </si>
  <si>
    <t>MORICHON</t>
  </si>
  <si>
    <t>Vouhe</t>
  </si>
  <si>
    <t>17 avenue Gabriel Peri</t>
  </si>
  <si>
    <t>Roussillon</t>
  </si>
  <si>
    <t>VOUHE</t>
  </si>
  <si>
    <t>NEYME</t>
  </si>
  <si>
    <t>Sylvie</t>
  </si>
  <si>
    <t>Wittmann Le Belin de Chatellenot</t>
  </si>
  <si>
    <t>14 rue Servandoni</t>
  </si>
  <si>
    <t>WITTMANN</t>
  </si>
  <si>
    <t xml:space="preserve">BERGOËND </t>
  </si>
  <si>
    <t>Christine</t>
  </si>
  <si>
    <t>Coordonateur Etudes-Travaux</t>
  </si>
  <si>
    <t>Zanoncelli</t>
  </si>
  <si>
    <t>Iris</t>
  </si>
  <si>
    <t>59 rue du Général Leclerc</t>
  </si>
  <si>
    <t>Le Kremlin-Bicêtre</t>
  </si>
  <si>
    <t>ZANONCELLI</t>
  </si>
  <si>
    <t>COCHON</t>
  </si>
  <si>
    <t>Badge stand-By</t>
  </si>
  <si>
    <t>Personnel ayant quitté Razel-Bec</t>
  </si>
  <si>
    <t>Restitution</t>
  </si>
  <si>
    <t>Restitution
adp</t>
  </si>
  <si>
    <t>Barkate</t>
  </si>
  <si>
    <t>Eva</t>
  </si>
  <si>
    <t>6 rue Alice Milliat</t>
  </si>
  <si>
    <t>Arcueil</t>
  </si>
  <si>
    <t>BARKATE</t>
  </si>
  <si>
    <t>SUC</t>
  </si>
  <si>
    <t>Stage 2ème année ESTP - Conducteur Tvx</t>
  </si>
  <si>
    <t>CCD</t>
  </si>
  <si>
    <t>Bedel</t>
  </si>
  <si>
    <t>81 rue du bois brosse</t>
  </si>
  <si>
    <t>Montluçon</t>
  </si>
  <si>
    <t>BEDEL</t>
  </si>
  <si>
    <t>Maurice</t>
  </si>
  <si>
    <t>GODEFRIN</t>
  </si>
  <si>
    <t>Gisèle</t>
  </si>
  <si>
    <t>Fin Stage</t>
  </si>
  <si>
    <t>Berlizot</t>
  </si>
  <si>
    <t>Calixte</t>
  </si>
  <si>
    <t>26 rue de l'Orangerie</t>
  </si>
  <si>
    <t>Versailles</t>
  </si>
  <si>
    <t>BERLIZOT</t>
  </si>
  <si>
    <t>RENAUD</t>
  </si>
  <si>
    <t>Geneviève</t>
  </si>
  <si>
    <t xml:space="preserve">Alternant </t>
  </si>
  <si>
    <t>Départ RZB</t>
  </si>
  <si>
    <t>Branellec</t>
  </si>
  <si>
    <t>Adrien</t>
  </si>
  <si>
    <t>28 rue Eugène Toulgoat</t>
  </si>
  <si>
    <t>Gennevilliers</t>
  </si>
  <si>
    <t>BRANELLEC</t>
  </si>
  <si>
    <t>Dominique</t>
  </si>
  <si>
    <t>JOSEPH</t>
  </si>
  <si>
    <t>Marie-France</t>
  </si>
  <si>
    <t>NR</t>
  </si>
  <si>
    <t>Chambolle</t>
  </si>
  <si>
    <t>Jérémy</t>
  </si>
  <si>
    <t>7 Avenue paul Doumer</t>
  </si>
  <si>
    <t>Gournay sur Marne</t>
  </si>
  <si>
    <t>CHAMBOLLE</t>
  </si>
  <si>
    <t>Jean-Marie</t>
  </si>
  <si>
    <t>GITTON</t>
  </si>
  <si>
    <t>Marie-Madeleine</t>
  </si>
  <si>
    <t>Dabrowski</t>
  </si>
  <si>
    <t>Rafal</t>
  </si>
  <si>
    <t>3 Place Voltaire</t>
  </si>
  <si>
    <t>Chilly-Mazarin</t>
  </si>
  <si>
    <t>DABROWSKI</t>
  </si>
  <si>
    <t>Wugenivsz</t>
  </si>
  <si>
    <t>KLEPACZ</t>
  </si>
  <si>
    <t>Jolanta</t>
  </si>
  <si>
    <t>Annulé</t>
  </si>
  <si>
    <t>Da Silva Castro</t>
  </si>
  <si>
    <t>Armindo Rogerio</t>
  </si>
  <si>
    <t>42F avenue Marc Sangnier</t>
  </si>
  <si>
    <t>Caluire et Cuire</t>
  </si>
  <si>
    <t>CASTRO</t>
  </si>
  <si>
    <t>Serafim</t>
  </si>
  <si>
    <t>SILVA</t>
  </si>
  <si>
    <t>Lisa</t>
  </si>
  <si>
    <t>Delloue</t>
  </si>
  <si>
    <t>4 rue Alexandre Darracq</t>
  </si>
  <si>
    <t>Suresnes</t>
  </si>
  <si>
    <t>DELLOUE</t>
  </si>
  <si>
    <t>DE BOECK</t>
  </si>
  <si>
    <t>Marie-Noëlle</t>
  </si>
  <si>
    <t>Conducteur Travaux Principal</t>
  </si>
  <si>
    <t>Gauthier</t>
  </si>
  <si>
    <t>Hervé</t>
  </si>
  <si>
    <t>524 route de souris</t>
  </si>
  <si>
    <t>Gibles</t>
  </si>
  <si>
    <t>GAUTHIER</t>
  </si>
  <si>
    <t>FOREST</t>
  </si>
  <si>
    <t>Giséle</t>
  </si>
  <si>
    <t>Houari</t>
  </si>
  <si>
    <t>Abdelkader</t>
  </si>
  <si>
    <t>10 rue Arlette Barriol</t>
  </si>
  <si>
    <t>Unieux</t>
  </si>
  <si>
    <t>HOUARI</t>
  </si>
  <si>
    <t>KESSACI</t>
  </si>
  <si>
    <t>Leila</t>
  </si>
  <si>
    <t>Izdouzen</t>
  </si>
  <si>
    <t>Abdelhakim</t>
  </si>
  <si>
    <t>Résidence les ponches - Bâtiment B2</t>
  </si>
  <si>
    <t>Manosque</t>
  </si>
  <si>
    <t>IZDOUZEN</t>
  </si>
  <si>
    <t>DINE</t>
  </si>
  <si>
    <t>Milouda</t>
  </si>
  <si>
    <t>Kebe</t>
  </si>
  <si>
    <t>Ballia</t>
  </si>
  <si>
    <t>27 rue National</t>
  </si>
  <si>
    <t>Boulogne-Billancourt</t>
  </si>
  <si>
    <t>KEBE</t>
  </si>
  <si>
    <t>Maro</t>
  </si>
  <si>
    <t>KONTE</t>
  </si>
  <si>
    <t>CDC</t>
  </si>
  <si>
    <t>Kondoki</t>
  </si>
  <si>
    <t>15 rue Frantz Mehring Rivière des galets</t>
  </si>
  <si>
    <t>Le Port</t>
  </si>
  <si>
    <t>KONDOKI</t>
  </si>
  <si>
    <t>Jean-Florus</t>
  </si>
  <si>
    <t>MANGATA RAMSSAMY</t>
  </si>
  <si>
    <t>Marie-Ange</t>
  </si>
  <si>
    <t>Chef Mécanicien</t>
  </si>
  <si>
    <t>Démission fin 07/24</t>
  </si>
  <si>
    <t>LMA</t>
  </si>
  <si>
    <t>Kone</t>
  </si>
  <si>
    <t>2 rue Paul Langevin</t>
  </si>
  <si>
    <t>Sevran</t>
  </si>
  <si>
    <t>KONE</t>
  </si>
  <si>
    <t>Abdoulaye</t>
  </si>
  <si>
    <t>NABOUNOU</t>
  </si>
  <si>
    <t>Cissé</t>
  </si>
  <si>
    <t>Garino</t>
  </si>
  <si>
    <t>Alessio</t>
  </si>
  <si>
    <t>169 avenue de Choisy</t>
  </si>
  <si>
    <t>GARINO</t>
  </si>
  <si>
    <t>SCHWAN</t>
  </si>
  <si>
    <t>Séverine</t>
  </si>
  <si>
    <t>Stagiaire</t>
  </si>
  <si>
    <t>Gossellin</t>
  </si>
  <si>
    <t>Paul</t>
  </si>
  <si>
    <t>231 rue du Maréchal Oudinot</t>
  </si>
  <si>
    <t>Nancy</t>
  </si>
  <si>
    <t>GOSSELIN</t>
  </si>
  <si>
    <t>André</t>
  </si>
  <si>
    <t>WITASSE-THEZY</t>
  </si>
  <si>
    <t>Marie</t>
  </si>
  <si>
    <t>Directeur Administratif et Financier</t>
  </si>
  <si>
    <t xml:space="preserve">Mutation </t>
  </si>
  <si>
    <t>Guyon</t>
  </si>
  <si>
    <t>Adam</t>
  </si>
  <si>
    <t>49 avenur Caffin</t>
  </si>
  <si>
    <t>La Varenne St Hilaire</t>
  </si>
  <si>
    <t>GUYON</t>
  </si>
  <si>
    <t>RICHERME</t>
  </si>
  <si>
    <t>Responsable Planning</t>
  </si>
  <si>
    <t>Houlaho</t>
  </si>
  <si>
    <t>Kossi</t>
  </si>
  <si>
    <t>25 rue de Massy</t>
  </si>
  <si>
    <t>Antony</t>
  </si>
  <si>
    <t>HOULAHO</t>
  </si>
  <si>
    <t>Komlan</t>
  </si>
  <si>
    <t>AMETEPE</t>
  </si>
  <si>
    <t>Ayawa</t>
  </si>
  <si>
    <t>Chargé Auscultations</t>
  </si>
  <si>
    <t>Macary</t>
  </si>
  <si>
    <t>Maud</t>
  </si>
  <si>
    <t>4 rue Philomène Magnin</t>
  </si>
  <si>
    <t>Lyon</t>
  </si>
  <si>
    <t>MACARY</t>
  </si>
  <si>
    <t>KAHN</t>
  </si>
  <si>
    <t>Ingénieur Contrat</t>
  </si>
  <si>
    <t>Mboup</t>
  </si>
  <si>
    <t>Aissatou</t>
  </si>
  <si>
    <t>9 rue Appert</t>
  </si>
  <si>
    <t>MBOUP</t>
  </si>
  <si>
    <t>FALL</t>
  </si>
  <si>
    <t>Rokhaya</t>
  </si>
  <si>
    <t>Meziani</t>
  </si>
  <si>
    <t>Célia</t>
  </si>
  <si>
    <t>20 rue de Beauchamp</t>
  </si>
  <si>
    <t>Taverny</t>
  </si>
  <si>
    <t>MEZIANI</t>
  </si>
  <si>
    <t>Dahmane</t>
  </si>
  <si>
    <t>HIRECHE</t>
  </si>
  <si>
    <t>Bilinda</t>
  </si>
  <si>
    <t>Stagiare</t>
  </si>
  <si>
    <t>Mitrovic</t>
  </si>
  <si>
    <t>Goran</t>
  </si>
  <si>
    <t xml:space="preserve">4 avenue Paul Krüger </t>
  </si>
  <si>
    <t>VIlleurbanne</t>
  </si>
  <si>
    <t>MITROVIC</t>
  </si>
  <si>
    <t>Mita</t>
  </si>
  <si>
    <t>GUTTIEREZ</t>
  </si>
  <si>
    <t>Evelyne</t>
  </si>
  <si>
    <t>Chargé Mission QSE</t>
  </si>
  <si>
    <t>Mrozik</t>
  </si>
  <si>
    <t>Jacek</t>
  </si>
  <si>
    <t>MROZIK</t>
  </si>
  <si>
    <t>Czeslaw</t>
  </si>
  <si>
    <t>BARANOWSKA</t>
  </si>
  <si>
    <t>Zofia</t>
  </si>
  <si>
    <t>Ndoumbe Makongue</t>
  </si>
  <si>
    <t>5 Avenue Albert 1er</t>
  </si>
  <si>
    <t>Eaubonne</t>
  </si>
  <si>
    <t>NDOUMBE MAKONGUE</t>
  </si>
  <si>
    <t>ENDOUMBE EBELLE</t>
  </si>
  <si>
    <t>Jeanette</t>
  </si>
  <si>
    <t>Oury</t>
  </si>
  <si>
    <t>Léo</t>
  </si>
  <si>
    <t>2 Rue du pré de la fuie</t>
  </si>
  <si>
    <t>Saint-Germain du Corbeis</t>
  </si>
  <si>
    <t>OURY</t>
  </si>
  <si>
    <t>Jean-Louis</t>
  </si>
  <si>
    <t>L'HOSTIS</t>
  </si>
  <si>
    <t>Adjoint Responsable Contrat</t>
  </si>
  <si>
    <t>NR / Mutation</t>
  </si>
  <si>
    <t>Palmieri</t>
  </si>
  <si>
    <t>Gregory</t>
  </si>
  <si>
    <t>2 bis avenue petitgoût</t>
  </si>
  <si>
    <t>Colombes</t>
  </si>
  <si>
    <t>PALMIERI</t>
  </si>
  <si>
    <t xml:space="preserve">LANTERNIER </t>
  </si>
  <si>
    <t>Directeur Travaux</t>
  </si>
  <si>
    <t>Rahmani</t>
  </si>
  <si>
    <t>70rue Voltaire</t>
  </si>
  <si>
    <t>Rueil-Malmaison</t>
  </si>
  <si>
    <t>BEN MOHAMED RAHMANI</t>
  </si>
  <si>
    <t>Saad</t>
  </si>
  <si>
    <t>BEN KALIFA</t>
  </si>
  <si>
    <t>Sahbiya</t>
  </si>
  <si>
    <t>Rochier</t>
  </si>
  <si>
    <t>Julien</t>
  </si>
  <si>
    <t>9 rue Jean de la Bruyère</t>
  </si>
  <si>
    <t>Noisy le Roi</t>
  </si>
  <si>
    <t>RIOCHIER</t>
  </si>
  <si>
    <t>SELA</t>
  </si>
  <si>
    <t>Annie</t>
  </si>
  <si>
    <t>Dossier Refusé</t>
  </si>
  <si>
    <t>180 Boulevard Grignan</t>
  </si>
  <si>
    <t>Toulon</t>
  </si>
  <si>
    <t>VIALLET</t>
  </si>
  <si>
    <t>ROSE</t>
  </si>
  <si>
    <t>Rouvellac</t>
  </si>
  <si>
    <t>17 Rue Marie Curie</t>
  </si>
  <si>
    <t>ROUVELLAC</t>
  </si>
  <si>
    <t>LARDEUX</t>
  </si>
  <si>
    <t>Muriel</t>
  </si>
  <si>
    <t>Seybou Gati</t>
  </si>
  <si>
    <t>Khadidja</t>
  </si>
  <si>
    <t>3 square clairaut</t>
  </si>
  <si>
    <t>Meaux</t>
  </si>
  <si>
    <t>GATI</t>
  </si>
  <si>
    <t>Seybou</t>
  </si>
  <si>
    <t>ZADA</t>
  </si>
  <si>
    <t>Bibata</t>
  </si>
  <si>
    <t>Ingenieure Géotechnique</t>
  </si>
  <si>
    <t>Extérieur</t>
  </si>
  <si>
    <t>Tbar</t>
  </si>
  <si>
    <t>Hamza</t>
  </si>
  <si>
    <t>4 Boulevrd Dominique François Arago</t>
  </si>
  <si>
    <t>Metz</t>
  </si>
  <si>
    <t>TBAR</t>
  </si>
  <si>
    <t>AHL LABBAIR</t>
  </si>
  <si>
    <t>Ouafa</t>
  </si>
  <si>
    <t>Alternant IM</t>
  </si>
  <si>
    <t>Velayandon</t>
  </si>
  <si>
    <t>Rémy</t>
  </si>
  <si>
    <t>7 allée Claude Debussy</t>
  </si>
  <si>
    <t>Vitry sur Seine</t>
  </si>
  <si>
    <t>LISTOIR</t>
  </si>
  <si>
    <t>Victor</t>
  </si>
  <si>
    <t>VELAYANDON</t>
  </si>
  <si>
    <t>Roseline</t>
  </si>
  <si>
    <t>Abandon</t>
  </si>
  <si>
    <t>Barcan-Alousque</t>
  </si>
  <si>
    <t>Dinu-Luigi</t>
  </si>
  <si>
    <t>1 Avenue Emile Thuau</t>
  </si>
  <si>
    <t>Gif-sur-Yvette</t>
  </si>
  <si>
    <t>Bouacha</t>
  </si>
  <si>
    <t>Omar</t>
  </si>
  <si>
    <t>2 Res Vert Bocage K3 - 158 Rue Ferdinand Buisson</t>
  </si>
  <si>
    <t>Salon de Provence</t>
  </si>
  <si>
    <t>BOUACHA</t>
  </si>
  <si>
    <t>TABET</t>
  </si>
  <si>
    <t>DQSE Adjoint</t>
  </si>
  <si>
    <t>Bourgeais</t>
  </si>
  <si>
    <t>44 rue des genets</t>
  </si>
  <si>
    <t>Bruz</t>
  </si>
  <si>
    <t>BOURGEAIS</t>
  </si>
  <si>
    <t>Joseph</t>
  </si>
  <si>
    <t>BOURDAIS</t>
  </si>
  <si>
    <t>Blanche</t>
  </si>
  <si>
    <t>Cammescasse</t>
  </si>
  <si>
    <t>Documentaliste GED</t>
  </si>
  <si>
    <t>Courbe</t>
  </si>
  <si>
    <t>94 Boulevard Pasteur</t>
  </si>
  <si>
    <t>Bry sur Marne</t>
  </si>
  <si>
    <t>COURBE</t>
  </si>
  <si>
    <t>Christian</t>
  </si>
  <si>
    <t>BRAN</t>
  </si>
  <si>
    <t>Brigitte</t>
  </si>
  <si>
    <t>Deutscher</t>
  </si>
  <si>
    <t>14 rue de la tourelle</t>
  </si>
  <si>
    <t>Rochefort en Yvelines</t>
  </si>
  <si>
    <t>DEUTSCHER</t>
  </si>
  <si>
    <t>Yvon</t>
  </si>
  <si>
    <t>MALTOT</t>
  </si>
  <si>
    <t>Marie-Thérèse</t>
  </si>
  <si>
    <t>Furtado Caroso Baptista</t>
  </si>
  <si>
    <t>Carlos</t>
  </si>
  <si>
    <t>rue Marcel Cachin</t>
  </si>
  <si>
    <t>Bègles</t>
  </si>
  <si>
    <t>CARDOSO BAPTISTA</t>
  </si>
  <si>
    <t>Joao Carlos</t>
  </si>
  <si>
    <t>FURTADO MENDOCA</t>
  </si>
  <si>
    <t>Maria Augusta</t>
  </si>
  <si>
    <t>Chef d'équipe (Cssct)</t>
  </si>
  <si>
    <t>Gelineau</t>
  </si>
  <si>
    <t>Donatien</t>
  </si>
  <si>
    <t>11 rue des loges</t>
  </si>
  <si>
    <t>Maille</t>
  </si>
  <si>
    <t>GELINEAU</t>
  </si>
  <si>
    <t>Raymond</t>
  </si>
  <si>
    <t>BAZANTAY</t>
  </si>
  <si>
    <t>Anne-Marie</t>
  </si>
  <si>
    <t>Non FBo</t>
  </si>
  <si>
    <t>Guesdon</t>
  </si>
  <si>
    <t>Agnès</t>
  </si>
  <si>
    <t>Ingénieure Méthode Tunnel</t>
  </si>
  <si>
    <t>Hachichi</t>
  </si>
  <si>
    <t>Mehdi</t>
  </si>
  <si>
    <t>15 rue de l'Ancienne Piscine</t>
  </si>
  <si>
    <t>Saint Avre</t>
  </si>
  <si>
    <t>Heriot</t>
  </si>
  <si>
    <t>49 rue des écoles</t>
  </si>
  <si>
    <t>Sainte-Geneviève des Bois</t>
  </si>
  <si>
    <t>HERIOT</t>
  </si>
  <si>
    <t>REVAULT</t>
  </si>
  <si>
    <t>Colette</t>
  </si>
  <si>
    <t>Responsable d'exploitation</t>
  </si>
  <si>
    <t>Jeanjean</t>
  </si>
  <si>
    <t>58 avenue des Bergères</t>
  </si>
  <si>
    <t>Puteaux</t>
  </si>
  <si>
    <t>JEANJEAN</t>
  </si>
  <si>
    <t>FERRY</t>
  </si>
  <si>
    <t>Directeur de Projet</t>
  </si>
  <si>
    <t>Mahamadou</t>
  </si>
  <si>
    <t>Lebigot</t>
  </si>
  <si>
    <t>Aymeric</t>
  </si>
  <si>
    <t>38 rue Bouillon Lagrange</t>
  </si>
  <si>
    <t>Saint-Chéron</t>
  </si>
  <si>
    <t>LEBIGOT</t>
  </si>
  <si>
    <t>BRETTE</t>
  </si>
  <si>
    <t>Denise</t>
  </si>
  <si>
    <t>Chef d'agnce DRN - GT</t>
  </si>
  <si>
    <t>Maillot</t>
  </si>
  <si>
    <t>Marie-Héléne</t>
  </si>
  <si>
    <t>DQSE</t>
  </si>
  <si>
    <t>Makanda</t>
  </si>
  <si>
    <t>Taylor</t>
  </si>
  <si>
    <t>23 rue de Benfleet</t>
  </si>
  <si>
    <t>Romainville</t>
  </si>
  <si>
    <t>MAKANDA</t>
  </si>
  <si>
    <t>Nzuzi</t>
  </si>
  <si>
    <t>NKODIA</t>
  </si>
  <si>
    <t>Ndona</t>
  </si>
  <si>
    <t>Mesli</t>
  </si>
  <si>
    <t>Contract Manager</t>
  </si>
  <si>
    <t>Meye</t>
  </si>
  <si>
    <t>7 allée des chevreuils</t>
  </si>
  <si>
    <t>Parmain</t>
  </si>
  <si>
    <t>MEYE</t>
  </si>
  <si>
    <t>DOUMBE</t>
  </si>
  <si>
    <t>Assistant Chef de chantier</t>
  </si>
  <si>
    <t>Nasri</t>
  </si>
  <si>
    <t>Salma</t>
  </si>
  <si>
    <t>88 Ter Boulevard d'Aulnay</t>
  </si>
  <si>
    <t>Villemomble</t>
  </si>
  <si>
    <t>NASRI</t>
  </si>
  <si>
    <t>MEHDI</t>
  </si>
  <si>
    <t>Hasna</t>
  </si>
  <si>
    <t>Responsable Synthèse</t>
  </si>
  <si>
    <t>N'Diaye</t>
  </si>
  <si>
    <t>Koumba</t>
  </si>
  <si>
    <t>Nogaro</t>
  </si>
  <si>
    <t>Yannick</t>
  </si>
  <si>
    <t>Chef Chantier Matériel</t>
  </si>
  <si>
    <t>Ouizgouret</t>
  </si>
  <si>
    <t>Said</t>
  </si>
  <si>
    <t>Pilote Tunnelier</t>
  </si>
  <si>
    <t>Ousaid</t>
  </si>
  <si>
    <t>Ahmed</t>
  </si>
  <si>
    <t>oui</t>
  </si>
  <si>
    <t>Jérôme</t>
  </si>
  <si>
    <t>918E Route de Meaux</t>
  </si>
  <si>
    <t>La Houssaye en Brie</t>
  </si>
  <si>
    <t>RICHARD</t>
  </si>
  <si>
    <t>MACHUT</t>
  </si>
  <si>
    <t>Roques</t>
  </si>
  <si>
    <t>Stéphane</t>
  </si>
  <si>
    <t>81 route de la vallée</t>
  </si>
  <si>
    <t>Saint-Bonnet près Orcival</t>
  </si>
  <si>
    <t>ROQUES</t>
  </si>
  <si>
    <t>BALEZO</t>
  </si>
  <si>
    <t>Lucienne</t>
  </si>
  <si>
    <t>Directeur des Infrastrutures Linéaires</t>
  </si>
  <si>
    <t>Saade</t>
  </si>
  <si>
    <t>Maroun</t>
  </si>
  <si>
    <t>Coordinateur Etudes - Travaux</t>
  </si>
  <si>
    <t>Tagne Simo</t>
  </si>
  <si>
    <t>Ronald</t>
  </si>
  <si>
    <t>Préventeur</t>
  </si>
  <si>
    <t>Tourneux</t>
  </si>
  <si>
    <t>19 rue de Montjay</t>
  </si>
  <si>
    <t>Bures sur Yvette</t>
  </si>
  <si>
    <t>TOURNEUX</t>
  </si>
  <si>
    <t>Yves</t>
  </si>
  <si>
    <t>LIENARD</t>
  </si>
  <si>
    <t>Vassal</t>
  </si>
  <si>
    <t>175 Bld Saint-Denis apt 132</t>
  </si>
  <si>
    <t>Courbevoie</t>
  </si>
  <si>
    <t>VASSAL</t>
  </si>
  <si>
    <t>JUPILLAT</t>
  </si>
  <si>
    <t>Hélène</t>
  </si>
  <si>
    <t>Responsable Contrat</t>
  </si>
  <si>
    <t>Wehbe</t>
  </si>
  <si>
    <t>Djamil</t>
  </si>
  <si>
    <t>Youssou</t>
  </si>
  <si>
    <t>Nacima</t>
  </si>
  <si>
    <t>5 allée des génovéfains</t>
  </si>
  <si>
    <t>Epinay Sous Sénart</t>
  </si>
  <si>
    <t>YOUSSOU</t>
  </si>
  <si>
    <t>Bassirou</t>
  </si>
  <si>
    <t>ALI FOUTI</t>
  </si>
  <si>
    <t>Amina</t>
  </si>
  <si>
    <t>Chargée Prévention</t>
  </si>
  <si>
    <t>Suivi des Documents pour Permis Piste T</t>
  </si>
  <si>
    <t>Etat</t>
  </si>
  <si>
    <t>TCA</t>
  </si>
  <si>
    <t>Théorie</t>
  </si>
  <si>
    <t>Pratique</t>
  </si>
  <si>
    <t>Date Récupération</t>
  </si>
  <si>
    <t>Fin Validité</t>
  </si>
  <si>
    <t>Inscription</t>
  </si>
  <si>
    <t>Date Formation</t>
  </si>
  <si>
    <t>Personnel Sorti</t>
  </si>
  <si>
    <t>202406P005158</t>
  </si>
  <si>
    <t>202406P005067</t>
  </si>
  <si>
    <t>Mohammed</t>
  </si>
  <si>
    <t>202407P005882</t>
  </si>
  <si>
    <t>202401P000412</t>
  </si>
  <si>
    <t>202407P005885</t>
  </si>
  <si>
    <t>202402P002238</t>
  </si>
  <si>
    <t>202407P006217</t>
  </si>
  <si>
    <t>202502P002282</t>
  </si>
  <si>
    <t>Monteiro</t>
  </si>
  <si>
    <t>202407P005883</t>
  </si>
  <si>
    <t>202403P002714</t>
  </si>
  <si>
    <t>Piéton</t>
  </si>
  <si>
    <t>202407P005884</t>
  </si>
  <si>
    <t>Aïssatou</t>
  </si>
  <si>
    <t>202410P007439</t>
  </si>
  <si>
    <t>202407P005950</t>
  </si>
  <si>
    <t>202405P004187</t>
  </si>
  <si>
    <t>202407P005951</t>
  </si>
  <si>
    <t>Alain Emmanuel</t>
  </si>
  <si>
    <t>202410P007698</t>
  </si>
  <si>
    <t>Sabbabady</t>
  </si>
  <si>
    <t>202407P006216</t>
  </si>
  <si>
    <t>Grégory</t>
  </si>
  <si>
    <t>202403P003180</t>
  </si>
  <si>
    <t>202409P006856</t>
  </si>
  <si>
    <t>202406P005159</t>
  </si>
  <si>
    <t>202409P006930</t>
  </si>
  <si>
    <t>202402P002236</t>
  </si>
  <si>
    <t>202410P007839</t>
  </si>
  <si>
    <t>202410P007836</t>
  </si>
  <si>
    <t>202410P007838</t>
  </si>
  <si>
    <t>202410P007696</t>
  </si>
  <si>
    <t>202410P007837</t>
  </si>
  <si>
    <t>202410P007697</t>
  </si>
  <si>
    <t>202410P007835</t>
  </si>
  <si>
    <t>Gaétan</t>
  </si>
  <si>
    <t>202410P008126</t>
  </si>
  <si>
    <t>202410P008129</t>
  </si>
  <si>
    <t>202410P008127</t>
  </si>
  <si>
    <t>Momodouba</t>
  </si>
  <si>
    <t>202410P008128</t>
  </si>
  <si>
    <t>202410P008229</t>
  </si>
  <si>
    <t>202411P008291</t>
  </si>
  <si>
    <t>Moreira</t>
  </si>
  <si>
    <t>202411P008571</t>
  </si>
  <si>
    <t>202411P008572</t>
  </si>
  <si>
    <t>Hémard</t>
  </si>
  <si>
    <t>202411P008570</t>
  </si>
  <si>
    <t>202501P001356</t>
  </si>
  <si>
    <t>202504P004394</t>
  </si>
  <si>
    <t>202504P004650</t>
  </si>
  <si>
    <t>202504P005107</t>
  </si>
  <si>
    <t>202504P005108</t>
  </si>
  <si>
    <t>202506P007870</t>
  </si>
  <si>
    <t>202507P008642</t>
  </si>
  <si>
    <t>202507P008641</t>
  </si>
  <si>
    <t>202507P008643</t>
  </si>
  <si>
    <t>202507P009499</t>
  </si>
  <si>
    <t xml:space="preserve">Cotillon </t>
  </si>
  <si>
    <t>202501P001355</t>
  </si>
  <si>
    <t>202509P011374</t>
  </si>
  <si>
    <t>202509P011373</t>
  </si>
  <si>
    <t>202512P015289</t>
  </si>
  <si>
    <t>202601P000223</t>
  </si>
  <si>
    <t>202601P000222</t>
  </si>
  <si>
    <t>202512P014575</t>
  </si>
  <si>
    <t>202602P002802</t>
  </si>
  <si>
    <t>202512P015288</t>
  </si>
  <si>
    <t>202603P004025</t>
  </si>
  <si>
    <t>202603P004559</t>
  </si>
  <si>
    <t>Boulfroy de St Aubin</t>
  </si>
  <si>
    <t>202602P002801</t>
  </si>
  <si>
    <t>Frank</t>
  </si>
  <si>
    <t>202604P005451</t>
  </si>
  <si>
    <t>202603P004166</t>
  </si>
  <si>
    <t>202603P004436</t>
  </si>
  <si>
    <t>202603P004165</t>
  </si>
  <si>
    <t>Ali Parfait</t>
  </si>
  <si>
    <t>202604P005452</t>
  </si>
  <si>
    <t>Suivi des Documents pour Véhicules</t>
  </si>
  <si>
    <t>N°Vignette</t>
  </si>
  <si>
    <t>Marque</t>
  </si>
  <si>
    <t>CI</t>
  </si>
  <si>
    <t>Date</t>
  </si>
  <si>
    <t>Validité</t>
  </si>
  <si>
    <t>202401V000353CDG</t>
  </si>
  <si>
    <t>Renault</t>
  </si>
  <si>
    <t>ZOE</t>
  </si>
  <si>
    <t>EZ-403-LR</t>
  </si>
  <si>
    <t>Astreinte</t>
  </si>
  <si>
    <t>RDS</t>
  </si>
  <si>
    <t>202401V000354CDG</t>
  </si>
  <si>
    <t>C 440 - 26</t>
  </si>
  <si>
    <t>FB-020-GR</t>
  </si>
  <si>
    <t>6x4 - Grue</t>
  </si>
  <si>
    <t>202401V000355CDG</t>
  </si>
  <si>
    <t>FC-735-WT</t>
  </si>
  <si>
    <t>PCZSAR</t>
  </si>
  <si>
    <t>202401V000356CDG</t>
  </si>
  <si>
    <t>FP-572-LK</t>
  </si>
  <si>
    <t>202402V000874CDG</t>
  </si>
  <si>
    <t>Liebherr</t>
  </si>
  <si>
    <t>LM 1090-4</t>
  </si>
  <si>
    <t>GD-638-FR</t>
  </si>
  <si>
    <t>Grue Automotrice</t>
  </si>
  <si>
    <t>202402V000875CDG</t>
  </si>
  <si>
    <t>Premium</t>
  </si>
  <si>
    <t>CW-136-BJ</t>
  </si>
  <si>
    <t>TRR</t>
  </si>
  <si>
    <t>202402V001088CDG</t>
  </si>
  <si>
    <t>Master</t>
  </si>
  <si>
    <t>FM-199-LY</t>
  </si>
  <si>
    <t>GTR</t>
  </si>
  <si>
    <t>202403V001311CDG</t>
  </si>
  <si>
    <t>Peugeot</t>
  </si>
  <si>
    <t>Expert</t>
  </si>
  <si>
    <t>GC-446-HW</t>
  </si>
  <si>
    <t>202409V005186CDG</t>
  </si>
  <si>
    <t>Volkswagen</t>
  </si>
  <si>
    <t>Taigo</t>
  </si>
  <si>
    <t>GV-241-RH</t>
  </si>
  <si>
    <t>202409V005313CDG</t>
  </si>
  <si>
    <t>GX-430-PT</t>
  </si>
  <si>
    <t>202409V005364CDG</t>
  </si>
  <si>
    <t>Citroën</t>
  </si>
  <si>
    <t>e-Jumpy</t>
  </si>
  <si>
    <t>GY-472-NQ</t>
  </si>
  <si>
    <t>202409V005365CDG</t>
  </si>
  <si>
    <t>GY-513-NQ</t>
  </si>
  <si>
    <t>202409V005366CDG</t>
  </si>
  <si>
    <t>GY-543-NQ</t>
  </si>
  <si>
    <t>202410V005971CDG</t>
  </si>
  <si>
    <t>FR-714-AQ</t>
  </si>
  <si>
    <t>202410V005972CDG</t>
  </si>
  <si>
    <t>FR-846-AQ</t>
  </si>
  <si>
    <t>202412V007108CDG</t>
  </si>
  <si>
    <t>Kia</t>
  </si>
  <si>
    <t>e-Niro</t>
  </si>
  <si>
    <t>HA-576-PE</t>
  </si>
  <si>
    <t>202410V006197CDG</t>
  </si>
  <si>
    <t>Mercedes-Benz</t>
  </si>
  <si>
    <t>Sprinter</t>
  </si>
  <si>
    <t>FE-793-GN</t>
  </si>
  <si>
    <t>Atelier</t>
  </si>
  <si>
    <t>202411V006535CDG</t>
  </si>
  <si>
    <t>Arocs</t>
  </si>
  <si>
    <t>FB-872-MC</t>
  </si>
  <si>
    <t>Balayeuse</t>
  </si>
  <si>
    <t>202411V006672CDG</t>
  </si>
  <si>
    <t>Fiat</t>
  </si>
  <si>
    <t>Ducato</t>
  </si>
  <si>
    <t>HA-903-AD</t>
  </si>
  <si>
    <t>Travaux</t>
  </si>
  <si>
    <t>202411V006673CDG</t>
  </si>
  <si>
    <t>HA-359-AC</t>
  </si>
  <si>
    <t>A.Hémard</t>
  </si>
  <si>
    <t>202411V006674CDG</t>
  </si>
  <si>
    <t>HA-104-AH</t>
  </si>
  <si>
    <t>JL Deroo</t>
  </si>
  <si>
    <t>202412V006878CDG</t>
  </si>
  <si>
    <t>Toyota</t>
  </si>
  <si>
    <t>Hilux</t>
  </si>
  <si>
    <t>GY-748-BX</t>
  </si>
  <si>
    <t>Dynaplaque</t>
  </si>
  <si>
    <t>202412V007109CDG</t>
  </si>
  <si>
    <t>GB-271-QV</t>
  </si>
  <si>
    <t>202501V000064CDG</t>
  </si>
  <si>
    <t>HA-761-HW</t>
  </si>
  <si>
    <t>202501V000249CDG</t>
  </si>
  <si>
    <t>MG</t>
  </si>
  <si>
    <t>MG4</t>
  </si>
  <si>
    <t>HB-423-GW</t>
  </si>
  <si>
    <t>202504V001708CDG</t>
  </si>
  <si>
    <t>FS-509-RB</t>
  </si>
  <si>
    <t>202504V001709CDG</t>
  </si>
  <si>
    <t>HC-254-NB</t>
  </si>
  <si>
    <t>rzb</t>
  </si>
  <si>
    <t>202504V001886CDG</t>
  </si>
  <si>
    <t>Iveco</t>
  </si>
  <si>
    <t>Daily 35C14</t>
  </si>
  <si>
    <t>GM-996-VP</t>
  </si>
  <si>
    <t>Tert</t>
  </si>
  <si>
    <t>202505V002219CDG</t>
  </si>
  <si>
    <t>Citan</t>
  </si>
  <si>
    <t>HC-622-PQ</t>
  </si>
  <si>
    <t>202506V003007CDG</t>
  </si>
  <si>
    <t>Trafic</t>
  </si>
  <si>
    <t>HD-427-BF</t>
  </si>
  <si>
    <t>Topo</t>
  </si>
  <si>
    <t>202506V003008CDG</t>
  </si>
  <si>
    <t>HD-995-BF</t>
  </si>
  <si>
    <t>Terrassement</t>
  </si>
  <si>
    <t>202507V003812CDG</t>
  </si>
  <si>
    <t>Clio</t>
  </si>
  <si>
    <t>FW-996-BX</t>
  </si>
  <si>
    <t>202508V005429CDG</t>
  </si>
  <si>
    <t>HE-401-HS</t>
  </si>
  <si>
    <t>202509V005913CDG</t>
  </si>
  <si>
    <t>ID Buzz Cargo</t>
  </si>
  <si>
    <t>HE-337-AP</t>
  </si>
  <si>
    <t>202510V006321CDG</t>
  </si>
  <si>
    <t>C 380-19</t>
  </si>
  <si>
    <t>HF-297-BN</t>
  </si>
  <si>
    <t>202511V007045CDG</t>
  </si>
  <si>
    <t>HE-216-XN</t>
  </si>
  <si>
    <t>LS</t>
  </si>
  <si>
    <t>202601V000401CDG</t>
  </si>
  <si>
    <t>HF-306-YC</t>
  </si>
  <si>
    <t>202601V000743CDG</t>
  </si>
  <si>
    <t>HH-021-PD</t>
  </si>
  <si>
    <t>202602v001298CDG</t>
  </si>
  <si>
    <t>FT-093-NK</t>
  </si>
  <si>
    <t>202602V001674CDG</t>
  </si>
  <si>
    <t>HH-146-ME</t>
  </si>
  <si>
    <t>202602v001675CDG</t>
  </si>
  <si>
    <t>HF-733-ZH</t>
  </si>
  <si>
    <t>Morgeat (Ter)</t>
  </si>
  <si>
    <t>202603V002278CDG</t>
  </si>
  <si>
    <t>HA-694-LN</t>
  </si>
  <si>
    <t>202604V002467CDG</t>
  </si>
  <si>
    <t>HF-212-YC</t>
  </si>
  <si>
    <t>Max</t>
  </si>
  <si>
    <t>202402V001089CDG</t>
  </si>
  <si>
    <t>FS-544-HG</t>
  </si>
  <si>
    <t>202403V001743CDG</t>
  </si>
  <si>
    <t>Partner</t>
  </si>
  <si>
    <t>FR-289-YX</t>
  </si>
  <si>
    <t>202406V003840CDG</t>
  </si>
  <si>
    <t>Kangoo</t>
  </si>
  <si>
    <t>FW-014-VF</t>
  </si>
  <si>
    <t>202407V004246CDG</t>
  </si>
  <si>
    <t>GX-738-PE</t>
  </si>
  <si>
    <t>202405V003112CDG</t>
  </si>
  <si>
    <t>FX-010-RH</t>
  </si>
  <si>
    <t>202409V005044CDG</t>
  </si>
  <si>
    <t>Ford</t>
  </si>
  <si>
    <t>Puma</t>
  </si>
  <si>
    <t>FY-613-LJ</t>
  </si>
  <si>
    <t>202401V000357CDG</t>
  </si>
  <si>
    <t>FK-929-JG</t>
  </si>
  <si>
    <t>202410V006196CDG</t>
  </si>
  <si>
    <t>GE-266-NG</t>
  </si>
  <si>
    <t>202401V000440CDG</t>
  </si>
  <si>
    <t>Daily Cab Ap Benne</t>
  </si>
  <si>
    <t>GM-251-HV</t>
  </si>
  <si>
    <t>202409V005187CDG</t>
  </si>
  <si>
    <t>C5 Aircross</t>
  </si>
  <si>
    <t>GC-466-VN</t>
  </si>
  <si>
    <t>202409V005312CDG</t>
  </si>
  <si>
    <t>GP-078-TJ</t>
  </si>
  <si>
    <t>202409V005481CDG</t>
  </si>
  <si>
    <t>FX-545-ZX</t>
  </si>
  <si>
    <t>202409V005618CDG</t>
  </si>
  <si>
    <t>GK-639-LR</t>
  </si>
  <si>
    <t>202407v004347CDG</t>
  </si>
  <si>
    <t>GX-728-PE</t>
  </si>
  <si>
    <t>202512V007399CDG</t>
  </si>
  <si>
    <t>Proace</t>
  </si>
  <si>
    <t>HD-954-MS</t>
  </si>
  <si>
    <t>EW-868-SY</t>
  </si>
  <si>
    <t>FE-295-FY</t>
  </si>
  <si>
    <t>FK-091-ET</t>
  </si>
  <si>
    <t>FK-391-ET</t>
  </si>
  <si>
    <t>FK-764-ER</t>
  </si>
  <si>
    <t>FX-160-JD</t>
  </si>
  <si>
    <t>GB-055-ZV</t>
  </si>
  <si>
    <t>CB-075-XE</t>
  </si>
  <si>
    <t>EY-239-XK</t>
  </si>
  <si>
    <t>FE-970-TK</t>
  </si>
  <si>
    <t>FT-253-QS</t>
  </si>
  <si>
    <t>GK-690-SA</t>
  </si>
  <si>
    <t>GL-335-JY</t>
  </si>
  <si>
    <t>GS-951-JQ</t>
  </si>
  <si>
    <t>Suivi des Documents pour Autorisation Accès</t>
  </si>
  <si>
    <t>AA</t>
  </si>
  <si>
    <t>Contact</t>
  </si>
  <si>
    <t>Envoi ADS / Demande Docs</t>
  </si>
  <si>
    <t>Envoi
 BLS ADP</t>
  </si>
  <si>
    <t>Retour</t>
  </si>
  <si>
    <t>Fin AA - CDG</t>
  </si>
  <si>
    <t>Demande PS</t>
  </si>
  <si>
    <t>PS</t>
  </si>
  <si>
    <t>Nbre 
Personnes</t>
  </si>
  <si>
    <t>Nbre 
Véhicules</t>
  </si>
  <si>
    <t>Qualité Ficihier</t>
  </si>
  <si>
    <t>Razel-Bec</t>
  </si>
  <si>
    <t>24/00034</t>
  </si>
  <si>
    <t>ABT</t>
  </si>
  <si>
    <t>Mujdat Ercan</t>
  </si>
  <si>
    <t>abt75020@gmail.com</t>
  </si>
  <si>
    <t xml:space="preserve">  +33 6 60 91 14 41</t>
  </si>
  <si>
    <t>2025 / 2026</t>
  </si>
  <si>
    <t>20/02682</t>
  </si>
  <si>
    <t>Agilis</t>
  </si>
  <si>
    <t>V2.2 - 03/24</t>
  </si>
  <si>
    <t>25/02199</t>
  </si>
  <si>
    <t>Air &amp; Port</t>
  </si>
  <si>
    <t>David Guinodeau</t>
  </si>
  <si>
    <t>d.guinodeau@airandport.com</t>
  </si>
  <si>
    <t>+33 6 37 54 48 09</t>
  </si>
  <si>
    <t>V1.7 - 11/06/2024</t>
  </si>
  <si>
    <t>24/00337</t>
  </si>
  <si>
    <t>Altaroad</t>
  </si>
  <si>
    <t>Nelson Da Costa</t>
  </si>
  <si>
    <t>nelson.dacosta@altaroad.com</t>
  </si>
  <si>
    <t>+33  6 95 75 93 14</t>
  </si>
  <si>
    <t>V1.4 - 05/09/2024</t>
  </si>
  <si>
    <t>25/01863</t>
  </si>
  <si>
    <t>APC Ingenierie</t>
  </si>
  <si>
    <t>Sony Malatre</t>
  </si>
  <si>
    <t>smalatre@apc-ingenierie.com</t>
  </si>
  <si>
    <t>+33 6 66 09 46 13</t>
  </si>
  <si>
    <t>V1.0 - 15/09/2024</t>
  </si>
  <si>
    <t>25/01465</t>
  </si>
  <si>
    <t>Aquapaysage</t>
  </si>
  <si>
    <t>Sébastien Prat</t>
  </si>
  <si>
    <t>s.prat@aquapaysage.fr</t>
  </si>
  <si>
    <t>+33 6 14 17 36 74</t>
  </si>
  <si>
    <t>Version M</t>
  </si>
  <si>
    <t>25/02348</t>
  </si>
  <si>
    <t>Axia</t>
  </si>
  <si>
    <t>Marlyse Gameiro</t>
  </si>
  <si>
    <t>contact.creutzwald@axia-interim.com</t>
  </si>
  <si>
    <t>+33 3 87 03 29 77</t>
  </si>
  <si>
    <t>24/02076</t>
  </si>
  <si>
    <t>Barillet</t>
  </si>
  <si>
    <t>Yohann Gonzalez</t>
  </si>
  <si>
    <t>yohann.gonzalez@barillet.fr</t>
  </si>
  <si>
    <t>+33 6 72 99 81 36</t>
  </si>
  <si>
    <t>V1 - 01/12/2024</t>
  </si>
  <si>
    <t>24/00540</t>
  </si>
  <si>
    <t>Besta Facilities</t>
  </si>
  <si>
    <t>Alamou Eyebiyi</t>
  </si>
  <si>
    <t>parisus@yahoo.com</t>
  </si>
  <si>
    <t xml:space="preserve"> + 33 6 84 20 35 52</t>
  </si>
  <si>
    <t>23/02545</t>
  </si>
  <si>
    <t>Coteg</t>
  </si>
  <si>
    <t>Samira Coulibaly</t>
  </si>
  <si>
    <t>scoulibaly@coteg-sa.fr</t>
  </si>
  <si>
    <t xml:space="preserve">  +33 6 80 63 05 11</t>
  </si>
  <si>
    <t>25/01122</t>
  </si>
  <si>
    <t>David Balayage</t>
  </si>
  <si>
    <t>25/02212</t>
  </si>
  <si>
    <t>Domino RH</t>
  </si>
  <si>
    <t>Romuald Couturier</t>
  </si>
  <si>
    <t>rcouturier@domino-rh.com</t>
  </si>
  <si>
    <t>+33 6 14 49 26 58</t>
  </si>
  <si>
    <t>24/00911</t>
  </si>
  <si>
    <t>DSD Firoc</t>
  </si>
  <si>
    <t>Thibault Sanson</t>
  </si>
  <si>
    <t>thibault.sanson@dsd-firoc.com</t>
  </si>
  <si>
    <t>+33 6 80 18 64 87</t>
  </si>
  <si>
    <t>V1.1 - 05/09/2024</t>
  </si>
  <si>
    <t>24/01295</t>
  </si>
  <si>
    <t>DSP</t>
  </si>
  <si>
    <t>René Metro</t>
  </si>
  <si>
    <t>m.metro@decoupserviceplus.fr</t>
  </si>
  <si>
    <t>+33 6 59 83 33 10</t>
  </si>
  <si>
    <t>24/00613</t>
  </si>
  <si>
    <t>ECT</t>
  </si>
  <si>
    <t>Mohamed Bouftass</t>
  </si>
  <si>
    <t>mbouftass@groupe-ect.com</t>
  </si>
  <si>
    <t>+33 6 41 66 25 88</t>
  </si>
  <si>
    <t>24/01981</t>
  </si>
  <si>
    <t>EGKA</t>
  </si>
  <si>
    <t>Pedro Araujo</t>
  </si>
  <si>
    <t>p.araujo@egka-fr.com</t>
  </si>
  <si>
    <t>+33 7 50 82 75 10</t>
  </si>
  <si>
    <t>V1.0 - 23/10/2024</t>
  </si>
  <si>
    <t>24/01960</t>
  </si>
  <si>
    <t>ELTD</t>
  </si>
  <si>
    <t>Mme Masbonson</t>
  </si>
  <si>
    <t>reception@eltd-snv.fr</t>
  </si>
  <si>
    <t>+33 1 64 90 68 80</t>
  </si>
  <si>
    <t>V1.0 - 15/12/2024</t>
  </si>
  <si>
    <t>25/01252</t>
  </si>
  <si>
    <t>Enco</t>
  </si>
  <si>
    <t>Nuno Teixera</t>
  </si>
  <si>
    <t>nuno.teixeira@enco-loc.com</t>
  </si>
  <si>
    <t>+33 6 27 43 02 77</t>
  </si>
  <si>
    <t>V1.0 - 15/10/2025</t>
  </si>
  <si>
    <t>23/02777</t>
  </si>
  <si>
    <t>Eqiom</t>
  </si>
  <si>
    <t>Hervé Pellischek</t>
  </si>
  <si>
    <t>herve.pellischek@eqiom.com</t>
  </si>
  <si>
    <t xml:space="preserve">  +33 6 83 82 79 12</t>
  </si>
  <si>
    <t>FCO</t>
  </si>
  <si>
    <t>01.24 - V1</t>
  </si>
  <si>
    <t>24/01319</t>
  </si>
  <si>
    <t>ERF</t>
  </si>
  <si>
    <t>Pascal Bernard</t>
  </si>
  <si>
    <t>pbernard@erf-france.fr</t>
  </si>
  <si>
    <t>+33 7 85 62 08 98</t>
  </si>
  <si>
    <t>V1,0 - 30/06/2024</t>
  </si>
  <si>
    <t>24/00136</t>
  </si>
  <si>
    <t>Fayat Métal GP</t>
  </si>
  <si>
    <t>Anaïs Rameau</t>
  </si>
  <si>
    <t>a.rameau@fmgp.fayat.com</t>
  </si>
  <si>
    <t xml:space="preserve">  +33 7 86 32 40 64</t>
  </si>
  <si>
    <t>24/01726</t>
  </si>
  <si>
    <t>Gleizon Travaux Publics</t>
  </si>
  <si>
    <t>Catherine Gleizon</t>
  </si>
  <si>
    <t>cg@gleizon.com</t>
  </si>
  <si>
    <t>+33 1 60 42 78 50</t>
  </si>
  <si>
    <t>V1.0 - 31/01/2025</t>
  </si>
  <si>
    <t>24/00899</t>
  </si>
  <si>
    <t>Guyot Laurent</t>
  </si>
  <si>
    <t>Jérôme Besin</t>
  </si>
  <si>
    <t>besin.tp@laposte.net</t>
  </si>
  <si>
    <t>+33 6 64 24 71 75</t>
  </si>
  <si>
    <t>V1.0 - 15/09/2025</t>
  </si>
  <si>
    <t>25/01538</t>
  </si>
  <si>
    <t>Hilti</t>
  </si>
  <si>
    <t>Nouhad BECHARA</t>
  </si>
  <si>
    <t>nouhad.bechara@hilti.com</t>
  </si>
  <si>
    <t>+33 7 62 50 50 27</t>
  </si>
  <si>
    <t xml:space="preserve">V1.0 - 07/07/2025 </t>
  </si>
  <si>
    <t>24/02372</t>
  </si>
  <si>
    <t>Humando Interim</t>
  </si>
  <si>
    <t>Zakariaa Lahiani</t>
  </si>
  <si>
    <t>zakariaa.lihiani@humando.fr</t>
  </si>
  <si>
    <t>+33 7 65 17 94 18</t>
  </si>
  <si>
    <t>24/02482</t>
  </si>
  <si>
    <t>IDF Logistique</t>
  </si>
  <si>
    <t>Bah Sekou</t>
  </si>
  <si>
    <t>contact@idf-logistique.fr</t>
  </si>
  <si>
    <t>+33 7 49 79 80 56</t>
  </si>
  <si>
    <t>V1 - 27/01/2025</t>
  </si>
  <si>
    <t>25/00718</t>
  </si>
  <si>
    <t>IHL IDF</t>
  </si>
  <si>
    <t>Fanny Dumoulin</t>
  </si>
  <si>
    <t>f.dumoulin@ihl.fr</t>
  </si>
  <si>
    <t>+33 6 19 98 29 99</t>
  </si>
  <si>
    <t>24/00313</t>
  </si>
  <si>
    <t>Inergence</t>
  </si>
  <si>
    <t>Nicolas Billot</t>
  </si>
  <si>
    <t>n.billot@vsiem.fr</t>
  </si>
  <si>
    <t xml:space="preserve">  + 33 6 60 38 33 17</t>
  </si>
  <si>
    <t>24/00115</t>
  </si>
  <si>
    <t>Infraneo</t>
  </si>
  <si>
    <t>Cédric Lebeau</t>
  </si>
  <si>
    <t>c.lebeau@infraneo.com</t>
  </si>
  <si>
    <t>+ 33 6 23 02 19 94</t>
  </si>
  <si>
    <t>24/02838</t>
  </si>
  <si>
    <t>Janus Interim</t>
  </si>
  <si>
    <t>Karen Tisserand</t>
  </si>
  <si>
    <t>karen.tisserand@groupevitaminet.com</t>
  </si>
  <si>
    <t>+33 6 43 41 81 57</t>
  </si>
  <si>
    <t>V1.2 - 05/09/2024</t>
  </si>
  <si>
    <t>24/00226</t>
  </si>
  <si>
    <t>Kiloutou</t>
  </si>
  <si>
    <t>Naima Ghalec</t>
  </si>
  <si>
    <t>nghaleb@kiloutou.frr</t>
  </si>
  <si>
    <t xml:space="preserve">  + 33 6 01 13 09 82</t>
  </si>
  <si>
    <t>23/02188</t>
  </si>
  <si>
    <t>Mediaco</t>
  </si>
  <si>
    <t>Frédéric Gille</t>
  </si>
  <si>
    <t>f.gille@mediaco.fr</t>
  </si>
  <si>
    <t>+33 6 77 63 13 02</t>
  </si>
  <si>
    <t>25/00899</t>
  </si>
  <si>
    <t>Moussy Services</t>
  </si>
  <si>
    <t>Dominique Morel</t>
  </si>
  <si>
    <t>dominique.morel@moussy-services.fr</t>
  </si>
  <si>
    <t>+33 6 87 77 50 20</t>
  </si>
  <si>
    <t>V1.0 - 01/07/2025</t>
  </si>
  <si>
    <t>24/01416</t>
  </si>
  <si>
    <t>Neogroup</t>
  </si>
  <si>
    <t>Annabelle Tobias</t>
  </si>
  <si>
    <t>atobias@fominvest.fr</t>
  </si>
  <si>
    <t>+33 7 86 81 26 13</t>
  </si>
  <si>
    <t>V1.0 - 03/02/2025</t>
  </si>
  <si>
    <t>24/01169</t>
  </si>
  <si>
    <t>Paname TP</t>
  </si>
  <si>
    <t>Nicolas Prunières</t>
  </si>
  <si>
    <t>np@prunieres.com</t>
  </si>
  <si>
    <t>+33 6 72 62 03 80</t>
  </si>
  <si>
    <t>V1.0 - 25/03/25</t>
  </si>
  <si>
    <t>26/00897</t>
  </si>
  <si>
    <t>Point P</t>
  </si>
  <si>
    <t>Flora Rouvier</t>
  </si>
  <si>
    <t>flora.rouvier@pointp.fr</t>
  </si>
  <si>
    <t>+33 6 28 40 15 35</t>
  </si>
  <si>
    <t>25/00791</t>
  </si>
  <si>
    <t>Polen</t>
  </si>
  <si>
    <t>Rémy Sorlin</t>
  </si>
  <si>
    <t>rsorlin@pol-en.com</t>
  </si>
  <si>
    <t>+33 6 20 54 34 31</t>
  </si>
  <si>
    <t>25/01448</t>
  </si>
  <si>
    <t>Proman Interim</t>
  </si>
  <si>
    <t>Salima Rupaud</t>
  </si>
  <si>
    <t>salima.rupaud@proman-interim.com</t>
  </si>
  <si>
    <t>+33 6 10 38 41 26</t>
  </si>
  <si>
    <t>V1.0 - 25/10/2024</t>
  </si>
  <si>
    <t>24/01401</t>
  </si>
  <si>
    <t>R2T Interim</t>
  </si>
  <si>
    <t>Ornella Granata</t>
  </si>
  <si>
    <t>ornella.granata@r2t-groupe.com</t>
  </si>
  <si>
    <t>+33 7 85 64 98 62</t>
  </si>
  <si>
    <t>mandat 17/06</t>
  </si>
  <si>
    <t>24/01997</t>
  </si>
  <si>
    <t>Ruhl</t>
  </si>
  <si>
    <t>Stéphane Boursier</t>
  </si>
  <si>
    <t>stephane.boursier@ruhlgroup.com</t>
  </si>
  <si>
    <t>+33 6 16 032449</t>
  </si>
  <si>
    <t>25/001678</t>
  </si>
  <si>
    <t>Samsic Interim</t>
  </si>
  <si>
    <t>Joffrey Dupont</t>
  </si>
  <si>
    <t>ra.btp.paris@samsic-emploi.fr</t>
  </si>
  <si>
    <t>+33 6 82 68 34 09</t>
  </si>
  <si>
    <t>V2.0 - 20/04/2024</t>
  </si>
  <si>
    <t>24/00616</t>
  </si>
  <si>
    <t>SAS TP</t>
  </si>
  <si>
    <t>Mohamed Bouziani</t>
  </si>
  <si>
    <t>sastp@hotmail.com</t>
  </si>
  <si>
    <t xml:space="preserve">  + 33 7 81 45 00 78</t>
  </si>
  <si>
    <t>V1.0 - 15/03/2025</t>
  </si>
  <si>
    <t>24/02742</t>
  </si>
  <si>
    <t>Scors</t>
  </si>
  <si>
    <t>Andrea Machado</t>
  </si>
  <si>
    <t>andrea.machado@ravionscors.fr</t>
  </si>
  <si>
    <t>+33 6 99 84 22 49</t>
  </si>
  <si>
    <t>23/02549</t>
  </si>
  <si>
    <t>Sites</t>
  </si>
  <si>
    <t>Marylin Dembele</t>
  </si>
  <si>
    <t>marylin.dembele@sites.fr</t>
  </si>
  <si>
    <t xml:space="preserve">  +33 6 08 74 16 03</t>
  </si>
  <si>
    <t>V1 - 30/09/2024</t>
  </si>
  <si>
    <t>24/00691</t>
  </si>
  <si>
    <t>Socafl</t>
  </si>
  <si>
    <t>Mathieu Dumont</t>
  </si>
  <si>
    <t>mathieu.dumont@socafl.com</t>
  </si>
  <si>
    <t>+33 6 82 86 21 22</t>
  </si>
  <si>
    <t>V1 - 05/09/2024</t>
  </si>
  <si>
    <t>23/02578</t>
  </si>
  <si>
    <t>Socotec Infra</t>
  </si>
  <si>
    <t>Mayssa Maktouf</t>
  </si>
  <si>
    <t>mayssa.maktouf@socotec.com</t>
  </si>
  <si>
    <t xml:space="preserve">  +33 6 34 31 26 66</t>
  </si>
  <si>
    <t>23/02337</t>
  </si>
  <si>
    <t>Sogea</t>
  </si>
  <si>
    <t>24/01999</t>
  </si>
  <si>
    <t>Somtrater</t>
  </si>
  <si>
    <t>Anne Debrun</t>
  </si>
  <si>
    <t>somtrater@orange.fr</t>
  </si>
  <si>
    <t>+33 6 07 62 60 16</t>
  </si>
  <si>
    <t>V1 - 06/01/2025</t>
  </si>
  <si>
    <t>25/02168</t>
  </si>
  <si>
    <t>Sotecnisol</t>
  </si>
  <si>
    <t>Alexandre Flejo</t>
  </si>
  <si>
    <t>ontact@sotecnisol.fr</t>
  </si>
  <si>
    <t>33 1 60 26 78 01</t>
  </si>
  <si>
    <t>Prévu Fin 2026</t>
  </si>
  <si>
    <t>25/00795</t>
  </si>
  <si>
    <t>Synergie</t>
  </si>
  <si>
    <t>Marine Carraro</t>
  </si>
  <si>
    <t>marine.carraro@synergie.fr</t>
  </si>
  <si>
    <t>+33 1 60 03 07 95</t>
  </si>
  <si>
    <t>24/02063</t>
  </si>
  <si>
    <t>TBW</t>
  </si>
  <si>
    <t>24/01045</t>
  </si>
  <si>
    <t>Telstar</t>
  </si>
  <si>
    <t>Kévin Guerenneur</t>
  </si>
  <si>
    <t>kguerenneur@telstar.fr</t>
  </si>
  <si>
    <t>+33 6 32 30 60 04</t>
  </si>
  <si>
    <t>TP&amp;Hardy</t>
  </si>
  <si>
    <t>Sabrina Clisson</t>
  </si>
  <si>
    <t>transports-hardy@gmail.com</t>
  </si>
  <si>
    <t>+33 6 32 20 71 27</t>
  </si>
  <si>
    <t>V6.0 - 20/01/2023</t>
  </si>
  <si>
    <t>23/02575</t>
  </si>
  <si>
    <t>Uby</t>
  </si>
  <si>
    <t>Antonio Caselles</t>
  </si>
  <si>
    <t>acaselles@uby-group.com</t>
  </si>
  <si>
    <t xml:space="preserve">  +33 6 62 91 09 73</t>
  </si>
  <si>
    <t>23/01160</t>
  </si>
  <si>
    <t>VTPS</t>
  </si>
  <si>
    <t>26/00480</t>
  </si>
  <si>
    <t>Wolffkran</t>
  </si>
  <si>
    <t>Samuel Samson</t>
  </si>
  <si>
    <t>p.samson@wolffkran.fr</t>
  </si>
  <si>
    <t>+33 7 84 22 06 14</t>
  </si>
  <si>
    <t>V1.0 - 01/03/2026</t>
  </si>
  <si>
    <t>25/00792</t>
  </si>
  <si>
    <t>XL Industries</t>
  </si>
  <si>
    <t>Marie Chetivaux</t>
  </si>
  <si>
    <t>mchetivaux@xl-industries.fr</t>
  </si>
  <si>
    <t>+33 6 77 45 40 29</t>
  </si>
  <si>
    <t>V1.0 - 03/04/25</t>
  </si>
  <si>
    <t>25/02695</t>
  </si>
  <si>
    <t>Chimirec</t>
  </si>
  <si>
    <t>Besta protection</t>
  </si>
  <si>
    <t>Ayobami Oyetunde</t>
  </si>
  <si>
    <t>securiteorealis@bestaprotection.fr</t>
  </si>
  <si>
    <t>33 6 84 20 35 52</t>
  </si>
  <si>
    <t>Planet Inter</t>
  </si>
  <si>
    <t>Maeva Sunassee</t>
  </si>
  <si>
    <t>m.sunassee@planet-inter.fr</t>
  </si>
  <si>
    <t>+33 7 63 92 09 14</t>
  </si>
  <si>
    <t>24/02671</t>
  </si>
  <si>
    <t>Fora IDF</t>
  </si>
  <si>
    <t xml:space="preserve"> 23 / 02248</t>
  </si>
  <si>
    <t>Envoi BLS ADP</t>
  </si>
  <si>
    <t>Nbre Personnes</t>
  </si>
  <si>
    <t>Nbre véhicules</t>
  </si>
  <si>
    <t>Sefi-Intrafor</t>
  </si>
  <si>
    <t>24/00900</t>
  </si>
  <si>
    <t>Bati IDF</t>
  </si>
  <si>
    <t>Azad Kosuncu</t>
  </si>
  <si>
    <t>azd.bati.idf@outlook.fr</t>
  </si>
  <si>
    <t>+33 6 32 60 03 48</t>
  </si>
  <si>
    <t>23/01859</t>
  </si>
  <si>
    <t>CGL</t>
  </si>
  <si>
    <t>bc@cgl.fr</t>
  </si>
  <si>
    <t>+33 1 34 13 46 59</t>
  </si>
  <si>
    <t>24/00736</t>
  </si>
  <si>
    <t>Courcelle</t>
  </si>
  <si>
    <t>Claude Soares</t>
  </si>
  <si>
    <t>c.soares@sgtd.com</t>
  </si>
  <si>
    <t>+33 6 10 96 32 91</t>
  </si>
  <si>
    <t>V1.3 -05/09/2024</t>
  </si>
  <si>
    <t>25/00474</t>
  </si>
  <si>
    <t>EOL Interim</t>
  </si>
  <si>
    <t>Alen Disci</t>
  </si>
  <si>
    <t>ja.disci@eol-interim.com</t>
  </si>
  <si>
    <t>+33 6 67 18 89 13</t>
  </si>
  <si>
    <t>23/02724</t>
  </si>
  <si>
    <t>Franki</t>
  </si>
  <si>
    <t>Annabelle Bondy</t>
  </si>
  <si>
    <t>a.bondy@franki.fayat.com</t>
  </si>
  <si>
    <t xml:space="preserve">  +33 6 37 51 58 48</t>
  </si>
  <si>
    <t>24/00045</t>
  </si>
  <si>
    <t>24/00934</t>
  </si>
  <si>
    <t>Luso TP</t>
  </si>
  <si>
    <t>Karim Bensaadi</t>
  </si>
  <si>
    <t>contact.luzotp@gmail.com</t>
  </si>
  <si>
    <t>+33 7 61 92 20 00</t>
  </si>
  <si>
    <t>22/02858</t>
  </si>
  <si>
    <t>Premat</t>
  </si>
  <si>
    <t>Laetitia Ramel</t>
  </si>
  <si>
    <t>l.ramel@premat.com</t>
  </si>
  <si>
    <t>+33 1 69 88 15 08</t>
  </si>
  <si>
    <t>24/00317</t>
  </si>
  <si>
    <t>SAML</t>
  </si>
  <si>
    <t>Benjamin Bryon</t>
  </si>
  <si>
    <t>b.bryon@saml.fayat.com</t>
  </si>
  <si>
    <t xml:space="preserve">  +33 6 63 30 50 74</t>
  </si>
  <si>
    <t>24/00737</t>
  </si>
  <si>
    <t>SGTD</t>
  </si>
  <si>
    <t>V1.3 - 05/09/2024</t>
  </si>
  <si>
    <t>24/00912</t>
  </si>
  <si>
    <t>Sofia Trsp</t>
  </si>
  <si>
    <t>Patrick Daulnay</t>
  </si>
  <si>
    <t>p.dy@sfr.fr</t>
  </si>
  <si>
    <t>+33 1 60 61 09 62</t>
  </si>
  <si>
    <t>24/00891</t>
  </si>
  <si>
    <t>T2GL</t>
  </si>
  <si>
    <t>Olivier David</t>
  </si>
  <si>
    <t>o.david@t2gl.fr</t>
  </si>
  <si>
    <t>+33 3 26 74 35 54</t>
  </si>
  <si>
    <t>24/01280</t>
  </si>
  <si>
    <t>TEG</t>
  </si>
  <si>
    <t>Yannick Radelet</t>
  </si>
  <si>
    <t>y.radelet@teg-ge.fr</t>
  </si>
  <si>
    <t>+33 6 11 23 56 53</t>
  </si>
  <si>
    <t>24/00591</t>
  </si>
  <si>
    <t>Total ES Proxi Nord-Est</t>
  </si>
  <si>
    <t>Elias Gerardin</t>
  </si>
  <si>
    <t>elias.gerardin@pne.totalenergies.com</t>
  </si>
  <si>
    <t>+33 6 22 84 54 83</t>
  </si>
  <si>
    <t>23/02763</t>
  </si>
  <si>
    <t>Vialis</t>
  </si>
  <si>
    <t>Paula Le Porcher</t>
  </si>
  <si>
    <t>paula@vialis-tp.fr</t>
  </si>
  <si>
    <t>+33 6 03 29 25 81</t>
  </si>
  <si>
    <t>25/01721</t>
  </si>
  <si>
    <t>ULS</t>
  </si>
  <si>
    <t>Halim Hatabi</t>
  </si>
  <si>
    <t>halim.hatabi@transport-uls.com</t>
  </si>
  <si>
    <t>+33 6 79 78 03 39</t>
  </si>
  <si>
    <t>V1.0 - 01/08/2025</t>
  </si>
  <si>
    <t>France Armatures</t>
  </si>
  <si>
    <t>Sofia transporteur</t>
  </si>
  <si>
    <t>23/02246</t>
  </si>
  <si>
    <t>Fayat Energie Services</t>
  </si>
  <si>
    <t>Lara Bennahmias</t>
  </si>
  <si>
    <t>l.bennahmias@energie.fayat.com</t>
  </si>
  <si>
    <t>+33 6 08 43 13 17</t>
  </si>
  <si>
    <t>23/02811</t>
  </si>
  <si>
    <t>JDC Airport</t>
  </si>
  <si>
    <t>24/02662</t>
  </si>
  <si>
    <t>Sotramo</t>
  </si>
  <si>
    <t>Bruno Sculfort</t>
  </si>
  <si>
    <t>bruno.sculfort@sotramo.fr</t>
  </si>
  <si>
    <t>+33 6 61 05 32 39</t>
  </si>
  <si>
    <t>23/00162</t>
  </si>
  <si>
    <t>Nord Signalisation</t>
  </si>
  <si>
    <t>Ludivine Robbe</t>
  </si>
  <si>
    <t>ludivine@nordsignalisation.com</t>
  </si>
  <si>
    <t>23/02809</t>
  </si>
  <si>
    <t>Mauffrey</t>
  </si>
  <si>
    <t>Emma Garzitto</t>
  </si>
  <si>
    <t>emma.garzitto@mauffrey.com</t>
  </si>
  <si>
    <t>+33 7 56 05 84 79</t>
  </si>
  <si>
    <t>pas de travaux en PCZSAR (Mail du 19/06/25)</t>
  </si>
  <si>
    <t>23/02645</t>
  </si>
  <si>
    <t>Secutim</t>
  </si>
  <si>
    <t>Kingsley Alonge</t>
  </si>
  <si>
    <t>k.alonge@bestaprotection.com</t>
  </si>
  <si>
    <t xml:space="preserve">  +33 6 24 13 09 70</t>
  </si>
  <si>
    <t>Annuler</t>
  </si>
  <si>
    <t>23/02519</t>
  </si>
  <si>
    <t>Torrette</t>
  </si>
  <si>
    <t>Jacques Torrette</t>
  </si>
  <si>
    <t>torrette@torrette.fr</t>
  </si>
  <si>
    <t>24/01283</t>
  </si>
  <si>
    <t>RMA Services</t>
  </si>
  <si>
    <t>Ansuman Djabu</t>
  </si>
  <si>
    <t>rmaservicesidf@gmail.com</t>
  </si>
  <si>
    <t>+33 6 19 84 02 90</t>
  </si>
  <si>
    <t>21/01407</t>
  </si>
  <si>
    <t>Marais</t>
  </si>
  <si>
    <t>24/01777</t>
  </si>
  <si>
    <t>Cogemat</t>
  </si>
  <si>
    <t>Francisco Rodriguez</t>
  </si>
  <si>
    <t>pacocogemat@gmail.com</t>
  </si>
  <si>
    <t>+33 6 98 68 47 36</t>
  </si>
  <si>
    <t>24/01961</t>
  </si>
  <si>
    <t>Foselev</t>
  </si>
  <si>
    <t>Siku Landry</t>
  </si>
  <si>
    <t>landry.siku@foselev.fr</t>
  </si>
  <si>
    <t>+33 6 22 72 52 02</t>
  </si>
  <si>
    <t>24/01316</t>
  </si>
  <si>
    <t>Fal Industrie</t>
  </si>
  <si>
    <t>Céliane Osiecki</t>
  </si>
  <si>
    <t>celiane.osiecki@foselev.fr</t>
  </si>
  <si>
    <t>+33 6 74 26 78 35</t>
  </si>
  <si>
    <t>24/01317</t>
  </si>
  <si>
    <t>Vital</t>
  </si>
  <si>
    <t>24/01170</t>
  </si>
  <si>
    <t>CMS Environnement</t>
  </si>
  <si>
    <t>Azzelarab Elalaoui</t>
  </si>
  <si>
    <t>ael@prunieres.com</t>
  </si>
  <si>
    <t>+33 6 86 55 30 07</t>
  </si>
  <si>
    <t>24/01289</t>
  </si>
  <si>
    <t>Matthieu TP</t>
  </si>
  <si>
    <t>24/00897</t>
  </si>
  <si>
    <t>Trsp SUR</t>
  </si>
  <si>
    <t>Mourad Rhzali</t>
  </si>
  <si>
    <t>transport-sur@hotmail.com</t>
  </si>
  <si>
    <t>+33 7 69 90 99 26</t>
  </si>
  <si>
    <t>24/00624</t>
  </si>
  <si>
    <t>Trsp Rivière</t>
  </si>
  <si>
    <t>Thierry Enguerhard</t>
  </si>
  <si>
    <t>t.enguerhard@riviere-transport.fr</t>
  </si>
  <si>
    <t xml:space="preserve">  +33 6 70 64 39 36</t>
  </si>
  <si>
    <t>24/01358</t>
  </si>
  <si>
    <t>TP Services Oise</t>
  </si>
  <si>
    <t>Philippe Cauvin</t>
  </si>
  <si>
    <t>p.cauvin@tpso.fr</t>
  </si>
  <si>
    <t>+33 6 80 18 97 96</t>
  </si>
  <si>
    <t>24/01399</t>
  </si>
  <si>
    <t>Bizet</t>
  </si>
  <si>
    <t>Sébastien Bizet</t>
  </si>
  <si>
    <t>tpsbizet@gmail.com</t>
  </si>
  <si>
    <t>+33 6 88 89 75 05</t>
  </si>
  <si>
    <t>V7 - 08/11/2024</t>
  </si>
  <si>
    <t>24/00363</t>
  </si>
  <si>
    <t>Clamens</t>
  </si>
  <si>
    <t>Jérôme Saridas</t>
  </si>
  <si>
    <t>jsaridas@clamens.fr</t>
  </si>
  <si>
    <t>+33 6 68 92 93 68</t>
  </si>
  <si>
    <t>22/02614</t>
  </si>
  <si>
    <t>Trsp Leberre</t>
  </si>
  <si>
    <t>Yves-Marie Le Berre</t>
  </si>
  <si>
    <t>Le-berre.yves-marie@orange;fr</t>
  </si>
  <si>
    <t>+33 6 80 66 31 82</t>
  </si>
  <si>
    <t>22/02355</t>
  </si>
  <si>
    <t>Tersen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</si>
</sst>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#,##0"/>
    <numFmt numFmtId="165" formatCode="dd/mm/yy;@"/>
    <numFmt numFmtId="166" formatCode="0#&quot; &quot;##&quot; &quot;##&quot; &quot;##&quot; &quot;##"/>
  </numFmts>
  <fonts count="18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ptos"/>
      <family val="2"/>
    </font>
    <font>
      <sz val="11"/>
      <color rgb="FF1F4E79"/>
      <name val="Calibri"/>
      <family val="2"/>
      <charset val="1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rgb="FF000000"/>
      <name val="Calibri"/>
      <family val="2"/>
      <scheme val="minor"/>
    </font>
    <font>
      <sz val="11"/>
      <color rgb="FF000000"/>
      <name val="Aptos"/>
      <family val="2"/>
      <charset val="1"/>
    </font>
    <font>
      <sz val="11"/>
      <color rgb="FF000000"/>
      <name val="Calibri"/>
      <family val="2"/>
      <charset val="1"/>
    </font>
    <font>
      <sz val="10"/>
      <color theme="1"/>
      <name val="Segoe UI"/>
      <charset val="1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7030A0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61">
    <xf numFmtId="0" fontId="0" fillId="0" borderId="0" xfId="0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1" xfId="0" applyBorder="1"/>
    <xf numFmtId="0" fontId="3" fillId="0" borderId="1" xfId="1" applyBorder="1"/>
    <xf numFmtId="0" fontId="2" fillId="2" borderId="0" xfId="0" applyFont="1" applyFill="1"/>
    <xf numFmtId="0" fontId="2" fillId="0" borderId="0" xfId="0" applyFont="1"/>
    <xf numFmtId="16" fontId="0" fillId="0" borderId="1" xfId="0" applyNumberFormat="1" applyBorder="1"/>
    <xf numFmtId="0" fontId="0" fillId="0" borderId="5" xfId="0" applyBorder="1"/>
    <xf numFmtId="16" fontId="0" fillId="0" borderId="5" xfId="0" applyNumberFormat="1" applyBorder="1"/>
    <xf numFmtId="0" fontId="2" fillId="0" borderId="6" xfId="0" applyFont="1" applyBorder="1"/>
    <xf numFmtId="0" fontId="2" fillId="0" borderId="7" xfId="0" applyFont="1" applyBorder="1"/>
    <xf numFmtId="164" fontId="0" fillId="0" borderId="0" xfId="0" applyNumberFormat="1"/>
    <xf numFmtId="164" fontId="0" fillId="0" borderId="1" xfId="0" applyNumberFormat="1" applyBorder="1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1" xfId="0" applyNumberFormat="1" applyBorder="1"/>
    <xf numFmtId="0" fontId="2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5" fillId="0" borderId="1" xfId="1" applyFont="1" applyBorder="1"/>
    <xf numFmtId="0" fontId="3" fillId="0" borderId="5" xfId="1" applyBorder="1"/>
    <xf numFmtId="14" fontId="0" fillId="0" borderId="5" xfId="0" applyNumberFormat="1" applyBorder="1"/>
    <xf numFmtId="0" fontId="0" fillId="4" borderId="1" xfId="0" applyFill="1" applyBorder="1"/>
    <xf numFmtId="0" fontId="0" fillId="5" borderId="5" xfId="0" applyFill="1" applyBorder="1"/>
    <xf numFmtId="0" fontId="0" fillId="5" borderId="1" xfId="0" applyFill="1" applyBorder="1"/>
    <xf numFmtId="0" fontId="5" fillId="5" borderId="1" xfId="1" applyFont="1" applyFill="1" applyBorder="1"/>
    <xf numFmtId="1" fontId="0" fillId="0" borderId="0" xfId="0" applyNumberFormat="1"/>
    <xf numFmtId="1" fontId="2" fillId="2" borderId="0" xfId="0" applyNumberFormat="1" applyFont="1" applyFill="1"/>
    <xf numFmtId="1" fontId="2" fillId="0" borderId="2" xfId="0" applyNumberFormat="1" applyFont="1" applyBorder="1" applyAlignment="1">
      <alignment horizontal="center" vertical="center" wrapText="1"/>
    </xf>
    <xf numFmtId="1" fontId="0" fillId="0" borderId="1" xfId="0" applyNumberFormat="1" applyBorder="1"/>
    <xf numFmtId="1" fontId="0" fillId="6" borderId="0" xfId="0" applyNumberFormat="1" applyFill="1"/>
    <xf numFmtId="1" fontId="0" fillId="2" borderId="0" xfId="0" applyNumberFormat="1" applyFill="1"/>
    <xf numFmtId="1" fontId="0" fillId="4" borderId="0" xfId="0" applyNumberFormat="1" applyFill="1"/>
    <xf numFmtId="1" fontId="0" fillId="5" borderId="0" xfId="0" applyNumberFormat="1" applyFill="1"/>
    <xf numFmtId="14" fontId="0" fillId="0" borderId="0" xfId="0" applyNumberFormat="1"/>
    <xf numFmtId="1" fontId="2" fillId="0" borderId="12" xfId="0" applyNumberFormat="1" applyFon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4" fontId="2" fillId="0" borderId="4" xfId="0" applyNumberFormat="1" applyFont="1" applyBorder="1"/>
    <xf numFmtId="0" fontId="2" fillId="0" borderId="4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4" fontId="0" fillId="3" borderId="1" xfId="0" applyNumberFormat="1" applyFill="1" applyBorder="1"/>
    <xf numFmtId="14" fontId="2" fillId="0" borderId="4" xfId="0" applyNumberFormat="1" applyFont="1" applyBorder="1" applyAlignment="1">
      <alignment horizontal="center" vertical="center" wrapText="1"/>
    </xf>
    <xf numFmtId="1" fontId="0" fillId="7" borderId="0" xfId="0" applyNumberFormat="1" applyFill="1"/>
    <xf numFmtId="0" fontId="0" fillId="2" borderId="1" xfId="0" applyFill="1" applyBorder="1"/>
    <xf numFmtId="0" fontId="0" fillId="2" borderId="0" xfId="0" applyFill="1"/>
    <xf numFmtId="0" fontId="0" fillId="7" borderId="1" xfId="0" applyFill="1" applyBorder="1"/>
    <xf numFmtId="1" fontId="0" fillId="5" borderId="1" xfId="0" applyNumberFormat="1" applyFill="1" applyBorder="1"/>
    <xf numFmtId="1" fontId="0" fillId="8" borderId="0" xfId="0" applyNumberFormat="1" applyFill="1"/>
    <xf numFmtId="0" fontId="0" fillId="8" borderId="1" xfId="0" applyFill="1" applyBorder="1"/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2" fillId="0" borderId="1" xfId="0" applyNumberFormat="1" applyFont="1" applyBorder="1"/>
    <xf numFmtId="14" fontId="2" fillId="5" borderId="1" xfId="0" applyNumberFormat="1" applyFont="1" applyFill="1" applyBorder="1"/>
    <xf numFmtId="0" fontId="2" fillId="0" borderId="3" xfId="0" applyFont="1" applyBorder="1" applyAlignment="1">
      <alignment horizontal="center"/>
    </xf>
    <xf numFmtId="0" fontId="8" fillId="0" borderId="0" xfId="0" applyFont="1" applyAlignment="1">
      <alignment vertical="center"/>
    </xf>
    <xf numFmtId="0" fontId="0" fillId="0" borderId="18" xfId="0" applyBorder="1" applyAlignment="1">
      <alignment horizontal="center"/>
    </xf>
    <xf numFmtId="0" fontId="0" fillId="0" borderId="17" xfId="0" applyBorder="1"/>
    <xf numFmtId="0" fontId="0" fillId="0" borderId="18" xfId="0" applyBorder="1"/>
    <xf numFmtId="14" fontId="0" fillId="0" borderId="18" xfId="0" applyNumberFormat="1" applyBorder="1"/>
    <xf numFmtId="0" fontId="0" fillId="0" borderId="19" xfId="0" applyBorder="1"/>
    <xf numFmtId="14" fontId="0" fillId="2" borderId="1" xfId="0" applyNumberFormat="1" applyFill="1" applyBorder="1"/>
    <xf numFmtId="14" fontId="2" fillId="0" borderId="12" xfId="0" applyNumberFormat="1" applyFont="1" applyBorder="1" applyAlignment="1">
      <alignment horizontal="center" vertical="center" wrapText="1"/>
    </xf>
    <xf numFmtId="1" fontId="0" fillId="10" borderId="1" xfId="0" applyNumberFormat="1" applyFill="1" applyBorder="1"/>
    <xf numFmtId="0" fontId="0" fillId="10" borderId="1" xfId="0" applyFill="1" applyBorder="1"/>
    <xf numFmtId="14" fontId="0" fillId="10" borderId="1" xfId="0" applyNumberFormat="1" applyFill="1" applyBorder="1"/>
    <xf numFmtId="14" fontId="2" fillId="3" borderId="1" xfId="0" applyNumberFormat="1" applyFont="1" applyFill="1" applyBorder="1"/>
    <xf numFmtId="1" fontId="0" fillId="11" borderId="0" xfId="0" applyNumberFormat="1" applyFill="1"/>
    <xf numFmtId="0" fontId="0" fillId="11" borderId="1" xfId="0" applyFill="1" applyBorder="1"/>
    <xf numFmtId="0" fontId="0" fillId="12" borderId="1" xfId="0" applyFill="1" applyBorder="1"/>
    <xf numFmtId="0" fontId="9" fillId="0" borderId="0" xfId="0" applyFont="1"/>
    <xf numFmtId="0" fontId="3" fillId="0" borderId="1" xfId="2" applyBorder="1"/>
    <xf numFmtId="14" fontId="0" fillId="11" borderId="1" xfId="0" applyNumberFormat="1" applyFill="1" applyBorder="1"/>
    <xf numFmtId="1" fontId="0" fillId="2" borderId="1" xfId="0" applyNumberFormat="1" applyFill="1" applyBorder="1"/>
    <xf numFmtId="1" fontId="2" fillId="0" borderId="4" xfId="0" applyNumberFormat="1" applyFont="1" applyBorder="1" applyAlignment="1">
      <alignment vertical="center" wrapText="1"/>
    </xf>
    <xf numFmtId="0" fontId="0" fillId="3" borderId="1" xfId="0" applyFill="1" applyBorder="1" applyAlignment="1">
      <alignment horizontal="center"/>
    </xf>
    <xf numFmtId="1" fontId="0" fillId="3" borderId="1" xfId="0" applyNumberFormat="1" applyFill="1" applyBorder="1"/>
    <xf numFmtId="14" fontId="0" fillId="3" borderId="21" xfId="0" applyNumberFormat="1" applyFill="1" applyBorder="1"/>
    <xf numFmtId="1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wrapText="1"/>
    </xf>
    <xf numFmtId="164" fontId="0" fillId="0" borderId="5" xfId="0" applyNumberFormat="1" applyBorder="1"/>
    <xf numFmtId="0" fontId="0" fillId="0" borderId="21" xfId="0" applyBorder="1" applyAlignment="1">
      <alignment horizontal="center" vertical="center" wrapText="1"/>
    </xf>
    <xf numFmtId="0" fontId="0" fillId="0" borderId="21" xfId="0" applyBorder="1" applyAlignment="1">
      <alignment vertical="center" wrapText="1"/>
    </xf>
    <xf numFmtId="14" fontId="0" fillId="0" borderId="21" xfId="0" applyNumberFormat="1" applyBorder="1" applyAlignment="1">
      <alignment vertical="center" wrapText="1"/>
    </xf>
    <xf numFmtId="0" fontId="0" fillId="0" borderId="0" xfId="0" applyAlignment="1">
      <alignment vertical="center" wrapText="1"/>
    </xf>
    <xf numFmtId="1" fontId="0" fillId="0" borderId="21" xfId="0" applyNumberFormat="1" applyBorder="1" applyAlignment="1">
      <alignment horizontal="center" vertical="center"/>
    </xf>
    <xf numFmtId="14" fontId="0" fillId="0" borderId="24" xfId="0" applyNumberFormat="1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2" fillId="5" borderId="4" xfId="0" applyFont="1" applyFill="1" applyBorder="1" applyAlignment="1">
      <alignment horizontal="center" vertical="center" wrapText="1"/>
    </xf>
    <xf numFmtId="14" fontId="2" fillId="5" borderId="12" xfId="0" applyNumberFormat="1" applyFont="1" applyFill="1" applyBorder="1" applyAlignment="1">
      <alignment horizontal="center" vertical="center" wrapText="1"/>
    </xf>
    <xf numFmtId="3" fontId="0" fillId="0" borderId="21" xfId="0" applyNumberFormat="1" applyBorder="1" applyAlignment="1">
      <alignment vertical="center" wrapText="1"/>
    </xf>
    <xf numFmtId="14" fontId="0" fillId="10" borderId="21" xfId="0" applyNumberFormat="1" applyFill="1" applyBorder="1"/>
    <xf numFmtId="14" fontId="2" fillId="10" borderId="21" xfId="0" applyNumberFormat="1" applyFont="1" applyFill="1" applyBorder="1"/>
    <xf numFmtId="14" fontId="2" fillId="10" borderId="1" xfId="0" applyNumberFormat="1" applyFont="1" applyFill="1" applyBorder="1"/>
    <xf numFmtId="0" fontId="0" fillId="10" borderId="21" xfId="0" applyFill="1" applyBorder="1"/>
    <xf numFmtId="14" fontId="0" fillId="10" borderId="17" xfId="0" applyNumberFormat="1" applyFill="1" applyBorder="1"/>
    <xf numFmtId="0" fontId="2" fillId="0" borderId="26" xfId="0" applyFont="1" applyBorder="1" applyAlignment="1">
      <alignment horizontal="center" vertical="center" wrapText="1"/>
    </xf>
    <xf numFmtId="16" fontId="0" fillId="5" borderId="1" xfId="0" applyNumberFormat="1" applyFill="1" applyBorder="1"/>
    <xf numFmtId="14" fontId="0" fillId="5" borderId="1" xfId="0" applyNumberFormat="1" applyFill="1" applyBorder="1"/>
    <xf numFmtId="0" fontId="0" fillId="0" borderId="21" xfId="0" applyBorder="1"/>
    <xf numFmtId="14" fontId="0" fillId="0" borderId="21" xfId="0" applyNumberFormat="1" applyBorder="1"/>
    <xf numFmtId="0" fontId="0" fillId="0" borderId="21" xfId="0" applyBorder="1" applyAlignment="1">
      <alignment wrapText="1"/>
    </xf>
    <xf numFmtId="164" fontId="0" fillId="0" borderId="21" xfId="0" applyNumberFormat="1" applyBorder="1"/>
    <xf numFmtId="0" fontId="0" fillId="0" borderId="21" xfId="0" applyBorder="1" applyAlignment="1">
      <alignment horizontal="center"/>
    </xf>
    <xf numFmtId="0" fontId="0" fillId="0" borderId="0" xfId="0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5" xfId="2" applyBorder="1"/>
    <xf numFmtId="0" fontId="4" fillId="0" borderId="5" xfId="0" applyFont="1" applyBorder="1"/>
    <xf numFmtId="14" fontId="0" fillId="3" borderId="21" xfId="0" applyNumberFormat="1" applyFill="1" applyBorder="1" applyAlignment="1">
      <alignment vertical="center" wrapText="1"/>
    </xf>
    <xf numFmtId="0" fontId="4" fillId="0" borderId="0" xfId="0" applyFont="1" applyAlignment="1">
      <alignment horizontal="center"/>
    </xf>
    <xf numFmtId="14" fontId="11" fillId="0" borderId="1" xfId="0" applyNumberFormat="1" applyFont="1" applyBorder="1"/>
    <xf numFmtId="0" fontId="12" fillId="5" borderId="1" xfId="0" applyFont="1" applyFill="1" applyBorder="1"/>
    <xf numFmtId="1" fontId="0" fillId="0" borderId="5" xfId="0" applyNumberFormat="1" applyBorder="1"/>
    <xf numFmtId="14" fontId="13" fillId="3" borderId="1" xfId="0" applyNumberFormat="1" applyFont="1" applyFill="1" applyBorder="1"/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8" xfId="0" applyFont="1" applyBorder="1" applyAlignment="1">
      <alignment vertical="center" wrapText="1"/>
    </xf>
    <xf numFmtId="14" fontId="0" fillId="2" borderId="5" xfId="0" applyNumberFormat="1" applyFill="1" applyBorder="1"/>
    <xf numFmtId="0" fontId="2" fillId="5" borderId="1" xfId="0" applyFont="1" applyFill="1" applyBorder="1"/>
    <xf numFmtId="0" fontId="0" fillId="5" borderId="25" xfId="0" applyFill="1" applyBorder="1"/>
    <xf numFmtId="1" fontId="0" fillId="0" borderId="21" xfId="0" applyNumberFormat="1" applyBorder="1"/>
    <xf numFmtId="17" fontId="0" fillId="0" borderId="0" xfId="0" applyNumberFormat="1"/>
    <xf numFmtId="4" fontId="0" fillId="0" borderId="0" xfId="0" applyNumberFormat="1"/>
    <xf numFmtId="4" fontId="0" fillId="0" borderId="0" xfId="0" applyNumberFormat="1" applyAlignment="1">
      <alignment horizontal="center" vertical="center" wrapText="1"/>
    </xf>
    <xf numFmtId="4" fontId="0" fillId="0" borderId="0" xfId="0" applyNumberFormat="1" applyAlignment="1">
      <alignment vertical="center" wrapText="1"/>
    </xf>
    <xf numFmtId="4" fontId="2" fillId="0" borderId="0" xfId="0" applyNumberFormat="1" applyFont="1" applyAlignment="1">
      <alignment horizontal="center" vertical="center" wrapText="1"/>
    </xf>
    <xf numFmtId="4" fontId="2" fillId="0" borderId="26" xfId="0" applyNumberFormat="1" applyFont="1" applyBorder="1" applyAlignment="1">
      <alignment horizontal="center" vertical="center" wrapText="1"/>
    </xf>
    <xf numFmtId="1" fontId="0" fillId="13" borderId="1" xfId="0" applyNumberFormat="1" applyFill="1" applyBorder="1"/>
    <xf numFmtId="0" fontId="0" fillId="10" borderId="1" xfId="0" applyFill="1" applyBorder="1" applyAlignment="1">
      <alignment horizontal="center"/>
    </xf>
    <xf numFmtId="14" fontId="10" fillId="10" borderId="1" xfId="0" applyNumberFormat="1" applyFont="1" applyFill="1" applyBorder="1"/>
    <xf numFmtId="1" fontId="0" fillId="0" borderId="21" xfId="0" applyNumberFormat="1" applyBorder="1" applyAlignment="1">
      <alignment vertical="center" wrapText="1"/>
    </xf>
    <xf numFmtId="0" fontId="0" fillId="5" borderId="21" xfId="0" applyFill="1" applyBorder="1" applyAlignment="1">
      <alignment vertical="center" wrapText="1"/>
    </xf>
    <xf numFmtId="1" fontId="0" fillId="5" borderId="21" xfId="0" applyNumberFormat="1" applyFill="1" applyBorder="1" applyAlignment="1">
      <alignment vertical="center" wrapText="1"/>
    </xf>
    <xf numFmtId="14" fontId="2" fillId="5" borderId="21" xfId="0" applyNumberFormat="1" applyFont="1" applyFill="1" applyBorder="1" applyAlignment="1">
      <alignment vertical="center" wrapText="1"/>
    </xf>
    <xf numFmtId="14" fontId="2" fillId="5" borderId="21" xfId="0" applyNumberFormat="1" applyFont="1" applyFill="1" applyBorder="1"/>
    <xf numFmtId="0" fontId="2" fillId="0" borderId="1" xfId="0" applyFont="1" applyBorder="1"/>
    <xf numFmtId="1" fontId="0" fillId="5" borderId="21" xfId="0" applyNumberFormat="1" applyFill="1" applyBorder="1"/>
    <xf numFmtId="0" fontId="0" fillId="2" borderId="5" xfId="0" applyFill="1" applyBorder="1"/>
    <xf numFmtId="0" fontId="9" fillId="0" borderId="21" xfId="0" applyFont="1" applyBorder="1"/>
    <xf numFmtId="1" fontId="0" fillId="0" borderId="17" xfId="0" applyNumberFormat="1" applyBorder="1" applyAlignment="1">
      <alignment horizontal="center" vertical="center"/>
    </xf>
    <xf numFmtId="164" fontId="0" fillId="0" borderId="19" xfId="0" applyNumberFormat="1" applyBorder="1"/>
    <xf numFmtId="0" fontId="0" fillId="0" borderId="27" xfId="0" applyBorder="1" applyAlignment="1">
      <alignment wrapText="1"/>
    </xf>
    <xf numFmtId="0" fontId="12" fillId="2" borderId="1" xfId="0" applyFont="1" applyFill="1" applyBorder="1"/>
    <xf numFmtId="0" fontId="2" fillId="12" borderId="1" xfId="0" applyFont="1" applyFill="1" applyBorder="1"/>
    <xf numFmtId="1" fontId="0" fillId="10" borderId="27" xfId="0" applyNumberFormat="1" applyFill="1" applyBorder="1"/>
    <xf numFmtId="0" fontId="0" fillId="10" borderId="27" xfId="0" applyFill="1" applyBorder="1"/>
    <xf numFmtId="14" fontId="0" fillId="10" borderId="27" xfId="0" applyNumberFormat="1" applyFill="1" applyBorder="1"/>
    <xf numFmtId="14" fontId="2" fillId="3" borderId="27" xfId="0" applyNumberFormat="1" applyFont="1" applyFill="1" applyBorder="1"/>
    <xf numFmtId="14" fontId="0" fillId="3" borderId="27" xfId="0" applyNumberFormat="1" applyFill="1" applyBorder="1"/>
    <xf numFmtId="1" fontId="0" fillId="10" borderId="21" xfId="0" applyNumberFormat="1" applyFill="1" applyBorder="1"/>
    <xf numFmtId="14" fontId="10" fillId="10" borderId="21" xfId="0" applyNumberFormat="1" applyFont="1" applyFill="1" applyBorder="1"/>
    <xf numFmtId="0" fontId="10" fillId="5" borderId="1" xfId="0" applyFont="1" applyFill="1" applyBorder="1"/>
    <xf numFmtId="14" fontId="10" fillId="0" borderId="1" xfId="0" applyNumberFormat="1" applyFont="1" applyBorder="1"/>
    <xf numFmtId="1" fontId="10" fillId="0" borderId="1" xfId="0" applyNumberFormat="1" applyFont="1" applyBorder="1"/>
    <xf numFmtId="14" fontId="10" fillId="5" borderId="1" xfId="0" applyNumberFormat="1" applyFont="1" applyFill="1" applyBorder="1"/>
    <xf numFmtId="14" fontId="0" fillId="0" borderId="28" xfId="0" applyNumberFormat="1" applyBorder="1"/>
    <xf numFmtId="14" fontId="0" fillId="10" borderId="29" xfId="0" applyNumberFormat="1" applyFill="1" applyBorder="1"/>
    <xf numFmtId="14" fontId="2" fillId="10" borderId="29" xfId="0" applyNumberFormat="1" applyFont="1" applyFill="1" applyBorder="1"/>
    <xf numFmtId="14" fontId="0" fillId="0" borderId="27" xfId="0" applyNumberFormat="1" applyBorder="1"/>
    <xf numFmtId="1" fontId="0" fillId="0" borderId="27" xfId="0" applyNumberFormat="1" applyBorder="1" applyAlignment="1">
      <alignment horizontal="center" vertical="center"/>
    </xf>
    <xf numFmtId="164" fontId="0" fillId="0" borderId="27" xfId="0" applyNumberFormat="1" applyBorder="1"/>
    <xf numFmtId="0" fontId="0" fillId="0" borderId="27" xfId="0" applyBorder="1"/>
    <xf numFmtId="0" fontId="0" fillId="0" borderId="27" xfId="0" applyBorder="1" applyAlignment="1">
      <alignment horizontal="center"/>
    </xf>
    <xf numFmtId="0" fontId="10" fillId="0" borderId="1" xfId="0" applyFont="1" applyBorder="1" applyAlignment="1">
      <alignment horizontal="center"/>
    </xf>
    <xf numFmtId="14" fontId="2" fillId="0" borderId="3" xfId="0" applyNumberFormat="1" applyFont="1" applyBorder="1"/>
    <xf numFmtId="14" fontId="0" fillId="0" borderId="24" xfId="0" applyNumberFormat="1" applyBorder="1"/>
    <xf numFmtId="0" fontId="0" fillId="0" borderId="25" xfId="0" applyBorder="1" applyAlignment="1">
      <alignment wrapText="1"/>
    </xf>
    <xf numFmtId="0" fontId="0" fillId="5" borderId="21" xfId="0" applyFill="1" applyBorder="1"/>
    <xf numFmtId="1" fontId="0" fillId="0" borderId="25" xfId="0" applyNumberFormat="1" applyBorder="1"/>
    <xf numFmtId="0" fontId="3" fillId="0" borderId="1" xfId="2" applyFill="1" applyBorder="1"/>
    <xf numFmtId="3" fontId="0" fillId="0" borderId="1" xfId="0" applyNumberFormat="1" applyBorder="1" applyAlignment="1">
      <alignment vertical="center"/>
    </xf>
    <xf numFmtId="0" fontId="2" fillId="0" borderId="8" xfId="0" applyFont="1" applyBorder="1" applyAlignment="1">
      <alignment horizontal="center" vertical="center" wrapText="1" indent="1"/>
    </xf>
    <xf numFmtId="0" fontId="2" fillId="0" borderId="9" xfId="0" applyFont="1" applyBorder="1" applyAlignment="1">
      <alignment horizontal="center" vertical="center" indent="1"/>
    </xf>
    <xf numFmtId="0" fontId="2" fillId="0" borderId="7" xfId="0" applyFont="1" applyBorder="1" applyAlignment="1">
      <alignment horizontal="center" vertical="center" indent="1"/>
    </xf>
    <xf numFmtId="0" fontId="2" fillId="0" borderId="20" xfId="0" applyFont="1" applyBorder="1" applyAlignment="1">
      <alignment horizontal="center" vertical="center" wrapText="1" indent="1"/>
    </xf>
    <xf numFmtId="0" fontId="2" fillId="0" borderId="30" xfId="0" applyFont="1" applyBorder="1" applyAlignment="1">
      <alignment horizontal="center" vertical="center" wrapText="1" indent="1"/>
    </xf>
    <xf numFmtId="0" fontId="0" fillId="10" borderId="1" xfId="0" applyFill="1" applyBorder="1" applyAlignment="1">
      <alignment horizontal="left"/>
    </xf>
    <xf numFmtId="0" fontId="10" fillId="2" borderId="1" xfId="0" applyFont="1" applyFill="1" applyBorder="1"/>
    <xf numFmtId="0" fontId="0" fillId="0" borderId="5" xfId="0" applyBorder="1" applyAlignment="1">
      <alignment vertical="center"/>
    </xf>
    <xf numFmtId="16" fontId="0" fillId="0" borderId="1" xfId="0" applyNumberFormat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0" fillId="14" borderId="1" xfId="0" applyFill="1" applyBorder="1"/>
    <xf numFmtId="14" fontId="13" fillId="2" borderId="1" xfId="0" applyNumberFormat="1" applyFont="1" applyFill="1" applyBorder="1"/>
    <xf numFmtId="0" fontId="3" fillId="10" borderId="1" xfId="1" applyFill="1" applyBorder="1"/>
    <xf numFmtId="16" fontId="0" fillId="10" borderId="1" xfId="0" applyNumberFormat="1" applyFill="1" applyBorder="1" applyAlignment="1">
      <alignment vertical="center"/>
    </xf>
    <xf numFmtId="16" fontId="0" fillId="10" borderId="1" xfId="0" applyNumberFormat="1" applyFill="1" applyBorder="1"/>
    <xf numFmtId="1" fontId="0" fillId="0" borderId="27" xfId="0" applyNumberFormat="1" applyBorder="1"/>
    <xf numFmtId="14" fontId="2" fillId="5" borderId="27" xfId="0" applyNumberFormat="1" applyFont="1" applyFill="1" applyBorder="1"/>
    <xf numFmtId="14" fontId="0" fillId="3" borderId="5" xfId="0" applyNumberFormat="1" applyFill="1" applyBorder="1"/>
    <xf numFmtId="14" fontId="2" fillId="5" borderId="5" xfId="0" applyNumberFormat="1" applyFont="1" applyFill="1" applyBorder="1"/>
    <xf numFmtId="1" fontId="0" fillId="5" borderId="17" xfId="0" applyNumberFormat="1" applyFill="1" applyBorder="1"/>
    <xf numFmtId="0" fontId="0" fillId="0" borderId="25" xfId="0" applyBorder="1" applyAlignment="1">
      <alignment horizontal="center"/>
    </xf>
    <xf numFmtId="0" fontId="0" fillId="5" borderId="27" xfId="0" applyFill="1" applyBorder="1"/>
    <xf numFmtId="0" fontId="0" fillId="0" borderId="5" xfId="0" applyBorder="1" applyAlignment="1">
      <alignment horizontal="left"/>
    </xf>
    <xf numFmtId="1" fontId="0" fillId="5" borderId="5" xfId="0" applyNumberFormat="1" applyFill="1" applyBorder="1"/>
    <xf numFmtId="0" fontId="0" fillId="2" borderId="21" xfId="0" applyFill="1" applyBorder="1"/>
    <xf numFmtId="0" fontId="0" fillId="7" borderId="1" xfId="0" applyFill="1" applyBorder="1" applyAlignment="1">
      <alignment vertical="center"/>
    </xf>
    <xf numFmtId="0" fontId="0" fillId="7" borderId="1" xfId="0" applyFill="1" applyBorder="1" applyAlignment="1">
      <alignment horizontal="center"/>
    </xf>
    <xf numFmtId="0" fontId="0" fillId="0" borderId="27" xfId="0" applyBorder="1" applyAlignment="1">
      <alignment vertical="center" wrapText="1"/>
    </xf>
    <xf numFmtId="0" fontId="0" fillId="10" borderId="27" xfId="0" applyFill="1" applyBorder="1" applyAlignment="1">
      <alignment horizontal="center"/>
    </xf>
    <xf numFmtId="14" fontId="0" fillId="10" borderId="31" xfId="0" applyNumberFormat="1" applyFill="1" applyBorder="1"/>
    <xf numFmtId="1" fontId="12" fillId="10" borderId="5" xfId="0" applyNumberFormat="1" applyFont="1" applyFill="1" applyBorder="1"/>
    <xf numFmtId="0" fontId="10" fillId="10" borderId="5" xfId="0" applyFont="1" applyFill="1" applyBorder="1"/>
    <xf numFmtId="0" fontId="0" fillId="10" borderId="5" xfId="0" applyFill="1" applyBorder="1"/>
    <xf numFmtId="14" fontId="0" fillId="10" borderId="5" xfId="0" applyNumberFormat="1" applyFill="1" applyBorder="1"/>
    <xf numFmtId="1" fontId="0" fillId="10" borderId="5" xfId="0" applyNumberFormat="1" applyFill="1" applyBorder="1"/>
    <xf numFmtId="14" fontId="0" fillId="10" borderId="32" xfId="0" applyNumberFormat="1" applyFill="1" applyBorder="1"/>
    <xf numFmtId="14" fontId="0" fillId="10" borderId="24" xfId="0" applyNumberFormat="1" applyFill="1" applyBorder="1"/>
    <xf numFmtId="14" fontId="0" fillId="0" borderId="17" xfId="0" applyNumberFormat="1" applyBorder="1"/>
    <xf numFmtId="14" fontId="11" fillId="5" borderId="1" xfId="0" applyNumberFormat="1" applyFont="1" applyFill="1" applyBorder="1"/>
    <xf numFmtId="1" fontId="0" fillId="0" borderId="19" xfId="0" applyNumberFormat="1" applyBorder="1"/>
    <xf numFmtId="0" fontId="12" fillId="0" borderId="1" xfId="0" applyFont="1" applyBorder="1"/>
    <xf numFmtId="0" fontId="12" fillId="0" borderId="1" xfId="0" applyFont="1" applyBorder="1" applyAlignment="1">
      <alignment horizontal="center"/>
    </xf>
    <xf numFmtId="14" fontId="12" fillId="0" borderId="1" xfId="0" applyNumberFormat="1" applyFont="1" applyBorder="1"/>
    <xf numFmtId="14" fontId="11" fillId="3" borderId="1" xfId="0" applyNumberFormat="1" applyFont="1" applyFill="1" applyBorder="1"/>
    <xf numFmtId="14" fontId="0" fillId="10" borderId="33" xfId="0" applyNumberFormat="1" applyFill="1" applyBorder="1"/>
    <xf numFmtId="1" fontId="0" fillId="15" borderId="0" xfId="0" applyNumberFormat="1" applyFill="1"/>
    <xf numFmtId="0" fontId="10" fillId="10" borderId="1" xfId="0" applyFont="1" applyFill="1" applyBorder="1"/>
    <xf numFmtId="0" fontId="10" fillId="10" borderId="1" xfId="0" applyFont="1" applyFill="1" applyBorder="1" applyAlignment="1">
      <alignment horizontal="center"/>
    </xf>
    <xf numFmtId="14" fontId="11" fillId="10" borderId="1" xfId="0" applyNumberFormat="1" applyFont="1" applyFill="1" applyBorder="1"/>
    <xf numFmtId="0" fontId="10" fillId="10" borderId="1" xfId="0" applyFont="1" applyFill="1" applyBorder="1" applyAlignment="1">
      <alignment horizontal="left"/>
    </xf>
    <xf numFmtId="14" fontId="0" fillId="10" borderId="1" xfId="0" applyNumberFormat="1" applyFill="1" applyBorder="1" applyAlignment="1">
      <alignment horizontal="center" vertical="center"/>
    </xf>
    <xf numFmtId="14" fontId="13" fillId="0" borderId="1" xfId="0" applyNumberFormat="1" applyFont="1" applyBorder="1"/>
    <xf numFmtId="0" fontId="10" fillId="0" borderId="1" xfId="0" applyFont="1" applyBorder="1"/>
    <xf numFmtId="0" fontId="14" fillId="0" borderId="1" xfId="2" applyFont="1" applyBorder="1"/>
    <xf numFmtId="0" fontId="10" fillId="0" borderId="1" xfId="0" applyFont="1" applyBorder="1" applyAlignment="1">
      <alignment vertical="center"/>
    </xf>
    <xf numFmtId="0" fontId="10" fillId="11" borderId="1" xfId="0" applyFont="1" applyFill="1" applyBorder="1"/>
    <xf numFmtId="16" fontId="10" fillId="10" borderId="1" xfId="0" applyNumberFormat="1" applyFont="1" applyFill="1" applyBorder="1"/>
    <xf numFmtId="0" fontId="14" fillId="10" borderId="1" xfId="2" applyFont="1" applyFill="1" applyBorder="1"/>
    <xf numFmtId="0" fontId="10" fillId="10" borderId="1" xfId="0" applyFont="1" applyFill="1" applyBorder="1" applyAlignment="1">
      <alignment vertical="center"/>
    </xf>
    <xf numFmtId="3" fontId="0" fillId="10" borderId="1" xfId="0" applyNumberFormat="1" applyFill="1" applyBorder="1" applyAlignment="1">
      <alignment vertical="center"/>
    </xf>
    <xf numFmtId="0" fontId="0" fillId="10" borderId="0" xfId="0" applyFill="1"/>
    <xf numFmtId="0" fontId="0" fillId="10" borderId="0" xfId="0" applyFill="1" applyAlignment="1">
      <alignment vertical="center"/>
    </xf>
    <xf numFmtId="0" fontId="0" fillId="10" borderId="0" xfId="0" applyFill="1" applyAlignment="1">
      <alignment horizontal="center"/>
    </xf>
    <xf numFmtId="1" fontId="0" fillId="16" borderId="1" xfId="0" applyNumberFormat="1" applyFill="1" applyBorder="1"/>
    <xf numFmtId="0" fontId="10" fillId="0" borderId="0" xfId="0" applyFont="1"/>
    <xf numFmtId="14" fontId="2" fillId="3" borderId="5" xfId="0" applyNumberFormat="1" applyFont="1" applyFill="1" applyBorder="1"/>
    <xf numFmtId="14" fontId="0" fillId="0" borderId="29" xfId="0" applyNumberFormat="1" applyBorder="1"/>
    <xf numFmtId="14" fontId="0" fillId="3" borderId="29" xfId="0" applyNumberFormat="1" applyFill="1" applyBorder="1"/>
    <xf numFmtId="14" fontId="11" fillId="2" borderId="27" xfId="0" applyNumberFormat="1" applyFont="1" applyFill="1" applyBorder="1"/>
    <xf numFmtId="0" fontId="0" fillId="0" borderId="29" xfId="0" applyBorder="1"/>
    <xf numFmtId="1" fontId="0" fillId="0" borderId="29" xfId="0" applyNumberFormat="1" applyBorder="1" applyAlignment="1">
      <alignment horizontal="center" vertical="center"/>
    </xf>
    <xf numFmtId="0" fontId="0" fillId="0" borderId="29" xfId="0" applyBorder="1" applyAlignment="1">
      <alignment wrapText="1"/>
    </xf>
    <xf numFmtId="164" fontId="0" fillId="0" borderId="29" xfId="0" applyNumberFormat="1" applyBorder="1"/>
    <xf numFmtId="0" fontId="0" fillId="0" borderId="29" xfId="0" applyBorder="1" applyAlignment="1">
      <alignment horizontal="center"/>
    </xf>
    <xf numFmtId="1" fontId="0" fillId="0" borderId="29" xfId="0" applyNumberFormat="1" applyBorder="1"/>
    <xf numFmtId="14" fontId="2" fillId="5" borderId="29" xfId="0" applyNumberFormat="1" applyFont="1" applyFill="1" applyBorder="1"/>
    <xf numFmtId="1" fontId="0" fillId="5" borderId="29" xfId="0" applyNumberFormat="1" applyFill="1" applyBorder="1"/>
    <xf numFmtId="0" fontId="0" fillId="5" borderId="29" xfId="0" applyFill="1" applyBorder="1"/>
    <xf numFmtId="14" fontId="10" fillId="0" borderId="5" xfId="0" applyNumberFormat="1" applyFont="1" applyBorder="1"/>
    <xf numFmtId="0" fontId="12" fillId="0" borderId="0" xfId="0" applyFont="1"/>
    <xf numFmtId="2" fontId="0" fillId="0" borderId="0" xfId="0" applyNumberFormat="1"/>
    <xf numFmtId="1" fontId="0" fillId="2" borderId="27" xfId="0" applyNumberFormat="1" applyFill="1" applyBorder="1"/>
    <xf numFmtId="0" fontId="0" fillId="0" borderId="21" xfId="0" applyBorder="1" applyAlignment="1">
      <alignment horizontal="left" vertical="center" wrapText="1"/>
    </xf>
    <xf numFmtId="14" fontId="0" fillId="5" borderId="21" xfId="0" applyNumberFormat="1" applyFill="1" applyBorder="1"/>
    <xf numFmtId="0" fontId="0" fillId="5" borderId="19" xfId="0" applyFill="1" applyBorder="1"/>
    <xf numFmtId="14" fontId="0" fillId="0" borderId="21" xfId="0" applyNumberFormat="1" applyBorder="1" applyAlignment="1">
      <alignment horizontal="center" vertical="center" wrapText="1"/>
    </xf>
    <xf numFmtId="1" fontId="0" fillId="2" borderId="21" xfId="0" applyNumberFormat="1" applyFill="1" applyBorder="1"/>
    <xf numFmtId="14" fontId="13" fillId="2" borderId="21" xfId="0" applyNumberFormat="1" applyFont="1" applyFill="1" applyBorder="1"/>
    <xf numFmtId="14" fontId="10" fillId="0" borderId="21" xfId="0" applyNumberFormat="1" applyFont="1" applyBorder="1"/>
    <xf numFmtId="1" fontId="0" fillId="5" borderId="27" xfId="0" applyNumberFormat="1" applyFill="1" applyBorder="1"/>
    <xf numFmtId="0" fontId="5" fillId="5" borderId="27" xfId="1" applyFont="1" applyFill="1" applyBorder="1"/>
    <xf numFmtId="1" fontId="0" fillId="0" borderId="28" xfId="0" applyNumberFormat="1" applyBorder="1" applyAlignment="1">
      <alignment horizontal="center" vertical="center"/>
    </xf>
    <xf numFmtId="14" fontId="0" fillId="5" borderId="27" xfId="0" applyNumberFormat="1" applyFill="1" applyBorder="1"/>
    <xf numFmtId="14" fontId="0" fillId="10" borderId="0" xfId="0" applyNumberFormat="1" applyFill="1"/>
    <xf numFmtId="0" fontId="3" fillId="10" borderId="0" xfId="1" applyFill="1" applyBorder="1"/>
    <xf numFmtId="3" fontId="0" fillId="10" borderId="0" xfId="0" applyNumberFormat="1" applyFill="1" applyAlignment="1">
      <alignment vertical="center"/>
    </xf>
    <xf numFmtId="14" fontId="0" fillId="13" borderId="1" xfId="0" applyNumberFormat="1" applyFill="1" applyBorder="1"/>
    <xf numFmtId="14" fontId="0" fillId="2" borderId="0" xfId="0" applyNumberFormat="1" applyFill="1"/>
    <xf numFmtId="164" fontId="0" fillId="0" borderId="21" xfId="0" applyNumberFormat="1" applyBorder="1" applyAlignment="1">
      <alignment horizontal="right"/>
    </xf>
    <xf numFmtId="0" fontId="0" fillId="0" borderId="25" xfId="0" applyBorder="1" applyAlignment="1">
      <alignment horizontal="center" vertical="center" wrapText="1"/>
    </xf>
    <xf numFmtId="0" fontId="10" fillId="5" borderId="21" xfId="0" applyFont="1" applyFill="1" applyBorder="1"/>
    <xf numFmtId="0" fontId="10" fillId="5" borderId="24" xfId="0" applyFont="1" applyFill="1" applyBorder="1"/>
    <xf numFmtId="14" fontId="0" fillId="0" borderId="25" xfId="0" applyNumberFormat="1" applyBorder="1"/>
    <xf numFmtId="14" fontId="11" fillId="0" borderId="21" xfId="0" applyNumberFormat="1" applyFont="1" applyBorder="1"/>
    <xf numFmtId="1" fontId="0" fillId="16" borderId="5" xfId="0" applyNumberFormat="1" applyFill="1" applyBorder="1"/>
    <xf numFmtId="1" fontId="0" fillId="3" borderId="5" xfId="0" applyNumberFormat="1" applyFill="1" applyBorder="1"/>
    <xf numFmtId="0" fontId="0" fillId="0" borderId="24" xfId="0" applyBorder="1"/>
    <xf numFmtId="0" fontId="0" fillId="2" borderId="21" xfId="0" applyFill="1" applyBorder="1" applyAlignment="1">
      <alignment horizontal="center"/>
    </xf>
    <xf numFmtId="0" fontId="0" fillId="0" borderId="24" xfId="0" applyBorder="1" applyAlignment="1">
      <alignment wrapText="1"/>
    </xf>
    <xf numFmtId="0" fontId="0" fillId="0" borderId="25" xfId="0" applyBorder="1"/>
    <xf numFmtId="0" fontId="0" fillId="2" borderId="24" xfId="0" applyFill="1" applyBorder="1"/>
    <xf numFmtId="14" fontId="0" fillId="5" borderId="5" xfId="0" applyNumberFormat="1" applyFill="1" applyBorder="1"/>
    <xf numFmtId="14" fontId="0" fillId="5" borderId="17" xfId="0" applyNumberFormat="1" applyFill="1" applyBorder="1"/>
    <xf numFmtId="1" fontId="0" fillId="2" borderId="5" xfId="0" applyNumberFormat="1" applyFill="1" applyBorder="1"/>
    <xf numFmtId="1" fontId="0" fillId="0" borderId="32" xfId="0" applyNumberFormat="1" applyBorder="1"/>
    <xf numFmtId="0" fontId="0" fillId="3" borderId="1" xfId="0" applyFill="1" applyBorder="1"/>
    <xf numFmtId="0" fontId="2" fillId="4" borderId="1" xfId="0" applyFont="1" applyFill="1" applyBorder="1"/>
    <xf numFmtId="16" fontId="0" fillId="4" borderId="1" xfId="0" applyNumberFormat="1" applyFill="1" applyBorder="1"/>
    <xf numFmtId="14" fontId="10" fillId="2" borderId="21" xfId="0" applyNumberFormat="1" applyFont="1" applyFill="1" applyBorder="1"/>
    <xf numFmtId="1" fontId="0" fillId="10" borderId="24" xfId="0" applyNumberFormat="1" applyFill="1" applyBorder="1" applyAlignment="1">
      <alignment horizontal="center" vertical="center" wrapText="1"/>
    </xf>
    <xf numFmtId="0" fontId="0" fillId="10" borderId="21" xfId="0" applyFill="1" applyBorder="1" applyAlignment="1">
      <alignment horizontal="left" vertical="center" wrapText="1"/>
    </xf>
    <xf numFmtId="0" fontId="0" fillId="10" borderId="21" xfId="0" applyFill="1" applyBorder="1" applyAlignment="1">
      <alignment vertical="center" wrapText="1"/>
    </xf>
    <xf numFmtId="14" fontId="0" fillId="10" borderId="21" xfId="0" applyNumberFormat="1" applyFill="1" applyBorder="1" applyAlignment="1">
      <alignment horizontal="center" vertical="center" wrapText="1"/>
    </xf>
    <xf numFmtId="0" fontId="0" fillId="10" borderId="21" xfId="0" applyFill="1" applyBorder="1" applyAlignment="1">
      <alignment horizontal="center" vertical="center" wrapText="1"/>
    </xf>
    <xf numFmtId="1" fontId="0" fillId="10" borderId="21" xfId="0" applyNumberFormat="1" applyFill="1" applyBorder="1" applyAlignment="1">
      <alignment horizontal="right" vertical="center" wrapText="1"/>
    </xf>
    <xf numFmtId="14" fontId="0" fillId="10" borderId="21" xfId="0" applyNumberFormat="1" applyFill="1" applyBorder="1" applyAlignment="1">
      <alignment horizontal="right" vertical="center" wrapText="1"/>
    </xf>
    <xf numFmtId="14" fontId="2" fillId="10" borderId="34" xfId="0" applyNumberFormat="1" applyFont="1" applyFill="1" applyBorder="1"/>
    <xf numFmtId="1" fontId="0" fillId="10" borderId="21" xfId="0" applyNumberFormat="1" applyFill="1" applyBorder="1" applyAlignment="1">
      <alignment horizontal="center" vertical="center"/>
    </xf>
    <xf numFmtId="0" fontId="0" fillId="10" borderId="21" xfId="0" applyFill="1" applyBorder="1" applyAlignment="1">
      <alignment wrapText="1"/>
    </xf>
    <xf numFmtId="164" fontId="0" fillId="10" borderId="21" xfId="0" applyNumberFormat="1" applyFill="1" applyBorder="1"/>
    <xf numFmtId="0" fontId="0" fillId="10" borderId="21" xfId="0" applyFill="1" applyBorder="1" applyAlignment="1">
      <alignment horizontal="center"/>
    </xf>
    <xf numFmtId="0" fontId="12" fillId="10" borderId="5" xfId="0" applyFont="1" applyFill="1" applyBorder="1"/>
    <xf numFmtId="1" fontId="0" fillId="10" borderId="5" xfId="0" applyNumberFormat="1" applyFill="1" applyBorder="1" applyAlignment="1">
      <alignment horizontal="center" vertical="center"/>
    </xf>
    <xf numFmtId="0" fontId="0" fillId="10" borderId="5" xfId="0" applyFill="1" applyBorder="1" applyAlignment="1">
      <alignment wrapText="1"/>
    </xf>
    <xf numFmtId="164" fontId="0" fillId="10" borderId="5" xfId="0" applyNumberFormat="1" applyFill="1" applyBorder="1"/>
    <xf numFmtId="0" fontId="0" fillId="10" borderId="5" xfId="0" applyFill="1" applyBorder="1" applyAlignment="1">
      <alignment horizontal="center"/>
    </xf>
    <xf numFmtId="14" fontId="2" fillId="10" borderId="5" xfId="0" applyNumberFormat="1" applyFont="1" applyFill="1" applyBorder="1"/>
    <xf numFmtId="14" fontId="0" fillId="10" borderId="35" xfId="0" applyNumberFormat="1" applyFill="1" applyBorder="1"/>
    <xf numFmtId="14" fontId="11" fillId="11" borderId="21" xfId="0" applyNumberFormat="1" applyFont="1" applyFill="1" applyBorder="1"/>
    <xf numFmtId="1" fontId="0" fillId="10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wrapText="1"/>
    </xf>
    <xf numFmtId="164" fontId="0" fillId="10" borderId="1" xfId="0" applyNumberFormat="1" applyFill="1" applyBorder="1"/>
    <xf numFmtId="14" fontId="0" fillId="10" borderId="28" xfId="0" applyNumberFormat="1" applyFill="1" applyBorder="1"/>
    <xf numFmtId="1" fontId="0" fillId="5" borderId="24" xfId="0" applyNumberFormat="1" applyFill="1" applyBorder="1"/>
    <xf numFmtId="14" fontId="2" fillId="0" borderId="12" xfId="0" applyNumberFormat="1" applyFont="1" applyBorder="1"/>
    <xf numFmtId="14" fontId="0" fillId="5" borderId="31" xfId="0" applyNumberFormat="1" applyFill="1" applyBorder="1"/>
    <xf numFmtId="14" fontId="0" fillId="5" borderId="24" xfId="0" applyNumberFormat="1" applyFill="1" applyBorder="1"/>
    <xf numFmtId="14" fontId="0" fillId="5" borderId="32" xfId="0" applyNumberFormat="1" applyFill="1" applyBorder="1"/>
    <xf numFmtId="0" fontId="2" fillId="0" borderId="26" xfId="0" applyFont="1" applyBorder="1"/>
    <xf numFmtId="0" fontId="2" fillId="0" borderId="36" xfId="0" applyFont="1" applyBorder="1"/>
    <xf numFmtId="14" fontId="0" fillId="0" borderId="31" xfId="0" applyNumberFormat="1" applyBorder="1"/>
    <xf numFmtId="14" fontId="0" fillId="0" borderId="32" xfId="0" applyNumberFormat="1" applyBorder="1"/>
    <xf numFmtId="14" fontId="2" fillId="10" borderId="28" xfId="0" applyNumberFormat="1" applyFont="1" applyFill="1" applyBorder="1"/>
    <xf numFmtId="14" fontId="0" fillId="10" borderId="37" xfId="0" applyNumberFormat="1" applyFill="1" applyBorder="1"/>
    <xf numFmtId="14" fontId="0" fillId="3" borderId="28" xfId="0" applyNumberFormat="1" applyFill="1" applyBorder="1"/>
    <xf numFmtId="14" fontId="0" fillId="0" borderId="38" xfId="0" applyNumberFormat="1" applyBorder="1"/>
    <xf numFmtId="0" fontId="15" fillId="0" borderId="21" xfId="0" applyFont="1" applyBorder="1"/>
    <xf numFmtId="14" fontId="0" fillId="0" borderId="19" xfId="0" applyNumberFormat="1" applyBorder="1"/>
    <xf numFmtId="0" fontId="10" fillId="10" borderId="21" xfId="0" applyFont="1" applyFill="1" applyBorder="1"/>
    <xf numFmtId="0" fontId="0" fillId="10" borderId="29" xfId="0" applyFill="1" applyBorder="1"/>
    <xf numFmtId="14" fontId="12" fillId="10" borderId="1" xfId="0" applyNumberFormat="1" applyFont="1" applyFill="1" applyBorder="1"/>
    <xf numFmtId="14" fontId="2" fillId="5" borderId="17" xfId="0" applyNumberFormat="1" applyFont="1" applyFill="1" applyBorder="1"/>
    <xf numFmtId="0" fontId="16" fillId="0" borderId="21" xfId="0" applyFont="1" applyBorder="1" applyAlignment="1">
      <alignment horizontal="center"/>
    </xf>
    <xf numFmtId="0" fontId="0" fillId="0" borderId="39" xfId="0" applyBorder="1" applyAlignment="1">
      <alignment horizontal="center"/>
    </xf>
    <xf numFmtId="0" fontId="16" fillId="0" borderId="21" xfId="0" applyFont="1" applyBorder="1"/>
    <xf numFmtId="164" fontId="0" fillId="0" borderId="39" xfId="0" applyNumberFormat="1" applyBorder="1"/>
    <xf numFmtId="14" fontId="0" fillId="0" borderId="40" xfId="0" applyNumberFormat="1" applyBorder="1"/>
    <xf numFmtId="0" fontId="0" fillId="8" borderId="21" xfId="0" applyFill="1" applyBorder="1"/>
    <xf numFmtId="0" fontId="15" fillId="8" borderId="21" xfId="0" applyFont="1" applyFill="1" applyBorder="1"/>
    <xf numFmtId="0" fontId="12" fillId="10" borderId="21" xfId="0" applyFont="1" applyFill="1" applyBorder="1"/>
    <xf numFmtId="1" fontId="0" fillId="10" borderId="24" xfId="0" applyNumberFormat="1" applyFill="1" applyBorder="1"/>
    <xf numFmtId="14" fontId="0" fillId="10" borderId="19" xfId="0" applyNumberFormat="1" applyFill="1" applyBorder="1"/>
    <xf numFmtId="1" fontId="0" fillId="0" borderId="31" xfId="0" applyNumberFormat="1" applyBorder="1"/>
    <xf numFmtId="0" fontId="0" fillId="8" borderId="28" xfId="0" applyFill="1" applyBorder="1"/>
    <xf numFmtId="0" fontId="0" fillId="0" borderId="28" xfId="0" applyBorder="1"/>
    <xf numFmtId="0" fontId="16" fillId="0" borderId="28" xfId="0" applyFont="1" applyBorder="1"/>
    <xf numFmtId="164" fontId="0" fillId="0" borderId="28" xfId="0" applyNumberFormat="1" applyBorder="1"/>
    <xf numFmtId="0" fontId="16" fillId="0" borderId="28" xfId="0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10" fillId="5" borderId="27" xfId="0" applyFont="1" applyFill="1" applyBorder="1"/>
    <xf numFmtId="165" fontId="0" fillId="0" borderId="5" xfId="0" applyNumberFormat="1" applyBorder="1"/>
    <xf numFmtId="0" fontId="10" fillId="8" borderId="21" xfId="0" applyFont="1" applyFill="1" applyBorder="1"/>
    <xf numFmtId="0" fontId="2" fillId="0" borderId="13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/>
    </xf>
    <xf numFmtId="0" fontId="0" fillId="0" borderId="42" xfId="0" applyBorder="1" applyAlignment="1">
      <alignment horizontal="center"/>
    </xf>
    <xf numFmtId="166" fontId="2" fillId="0" borderId="22" xfId="0" applyNumberFormat="1" applyFont="1" applyBorder="1" applyAlignment="1">
      <alignment horizontal="center" vertical="center" wrapText="1"/>
    </xf>
    <xf numFmtId="166" fontId="0" fillId="0" borderId="21" xfId="0" applyNumberFormat="1" applyBorder="1"/>
    <xf numFmtId="166" fontId="0" fillId="0" borderId="5" xfId="0" applyNumberFormat="1" applyBorder="1"/>
    <xf numFmtId="166" fontId="16" fillId="0" borderId="21" xfId="0" applyNumberFormat="1" applyFont="1" applyBorder="1"/>
    <xf numFmtId="166" fontId="0" fillId="0" borderId="1" xfId="0" applyNumberFormat="1" applyBorder="1"/>
    <xf numFmtId="14" fontId="0" fillId="0" borderId="41" xfId="0" applyNumberFormat="1" applyBorder="1"/>
    <xf numFmtId="1" fontId="0" fillId="0" borderId="31" xfId="0" applyNumberFormat="1" applyBorder="1" applyAlignment="1">
      <alignment horizontal="center" vertical="center"/>
    </xf>
    <xf numFmtId="166" fontId="0" fillId="0" borderId="28" xfId="0" applyNumberFormat="1" applyBorder="1"/>
    <xf numFmtId="0" fontId="16" fillId="0" borderId="43" xfId="0" applyFont="1" applyBorder="1" applyAlignment="1">
      <alignment horizontal="center"/>
    </xf>
    <xf numFmtId="0" fontId="3" fillId="0" borderId="21" xfId="2" applyBorder="1"/>
    <xf numFmtId="1" fontId="0" fillId="0" borderId="41" xfId="0" applyNumberFormat="1" applyBorder="1"/>
    <xf numFmtId="16" fontId="0" fillId="0" borderId="21" xfId="0" applyNumberFormat="1" applyBorder="1"/>
    <xf numFmtId="0" fontId="0" fillId="4" borderId="0" xfId="0" applyFill="1"/>
    <xf numFmtId="0" fontId="0" fillId="10" borderId="24" xfId="0" applyFill="1" applyBorder="1"/>
    <xf numFmtId="14" fontId="0" fillId="10" borderId="25" xfId="0" applyNumberFormat="1" applyFill="1" applyBorder="1"/>
    <xf numFmtId="0" fontId="12" fillId="15" borderId="1" xfId="0" applyFont="1" applyFill="1" applyBorder="1"/>
    <xf numFmtId="1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wrapText="1"/>
    </xf>
    <xf numFmtId="164" fontId="12" fillId="0" borderId="1" xfId="0" applyNumberFormat="1" applyFont="1" applyBorder="1"/>
    <xf numFmtId="14" fontId="2" fillId="5" borderId="28" xfId="0" applyNumberFormat="1" applyFont="1" applyFill="1" applyBorder="1"/>
    <xf numFmtId="1" fontId="0" fillId="0" borderId="28" xfId="0" applyNumberFormat="1" applyBorder="1"/>
    <xf numFmtId="0" fontId="5" fillId="5" borderId="21" xfId="1" applyFont="1" applyFill="1" applyBorder="1"/>
    <xf numFmtId="0" fontId="0" fillId="0" borderId="21" xfId="0" applyBorder="1" applyAlignment="1">
      <alignment horizontal="left"/>
    </xf>
    <xf numFmtId="166" fontId="0" fillId="0" borderId="21" xfId="0" applyNumberFormat="1" applyBorder="1" applyAlignment="1">
      <alignment horizontal="left"/>
    </xf>
    <xf numFmtId="0" fontId="3" fillId="0" borderId="21" xfId="2" applyBorder="1" applyAlignment="1">
      <alignment horizontal="left"/>
    </xf>
    <xf numFmtId="0" fontId="2" fillId="5" borderId="18" xfId="0" applyFont="1" applyFill="1" applyBorder="1" applyAlignment="1">
      <alignment horizontal="center"/>
    </xf>
    <xf numFmtId="0" fontId="3" fillId="0" borderId="21" xfId="2" applyFill="1" applyBorder="1"/>
    <xf numFmtId="1" fontId="2" fillId="0" borderId="21" xfId="0" applyNumberFormat="1" applyFont="1" applyBorder="1"/>
    <xf numFmtId="0" fontId="0" fillId="2" borderId="18" xfId="0" applyFill="1" applyBorder="1"/>
    <xf numFmtId="0" fontId="0" fillId="0" borderId="48" xfId="0" applyBorder="1"/>
    <xf numFmtId="14" fontId="11" fillId="0" borderId="28" xfId="0" applyNumberFormat="1" applyFont="1" applyBorder="1"/>
    <xf numFmtId="0" fontId="0" fillId="0" borderId="47" xfId="0" applyBorder="1"/>
    <xf numFmtId="14" fontId="2" fillId="2" borderId="21" xfId="0" applyNumberFormat="1" applyFont="1" applyFill="1" applyBorder="1"/>
    <xf numFmtId="1" fontId="0" fillId="0" borderId="17" xfId="0" applyNumberFormat="1" applyBorder="1"/>
    <xf numFmtId="0" fontId="0" fillId="7" borderId="21" xfId="0" applyFill="1" applyBorder="1"/>
    <xf numFmtId="0" fontId="0" fillId="3" borderId="0" xfId="0" applyFill="1"/>
    <xf numFmtId="4" fontId="0" fillId="3" borderId="0" xfId="0" applyNumberFormat="1" applyFill="1"/>
    <xf numFmtId="0" fontId="16" fillId="10" borderId="21" xfId="0" applyFont="1" applyFill="1" applyBorder="1"/>
    <xf numFmtId="166" fontId="16" fillId="10" borderId="21" xfId="0" applyNumberFormat="1" applyFont="1" applyFill="1" applyBorder="1"/>
    <xf numFmtId="0" fontId="16" fillId="10" borderId="21" xfId="0" applyFont="1" applyFill="1" applyBorder="1" applyAlignment="1">
      <alignment horizontal="center"/>
    </xf>
    <xf numFmtId="0" fontId="0" fillId="10" borderId="38" xfId="0" applyFill="1" applyBorder="1"/>
    <xf numFmtId="14" fontId="2" fillId="10" borderId="0" xfId="0" applyNumberFormat="1" applyFont="1" applyFill="1"/>
    <xf numFmtId="166" fontId="0" fillId="10" borderId="21" xfId="0" applyNumberFormat="1" applyFill="1" applyBorder="1"/>
    <xf numFmtId="0" fontId="0" fillId="10" borderId="18" xfId="0" applyFill="1" applyBorder="1"/>
    <xf numFmtId="164" fontId="0" fillId="10" borderId="21" xfId="0" applyNumberFormat="1" applyFill="1" applyBorder="1" applyAlignment="1">
      <alignment horizontal="right"/>
    </xf>
    <xf numFmtId="0" fontId="0" fillId="10" borderId="21" xfId="0" applyFill="1" applyBorder="1" applyAlignment="1">
      <alignment horizontal="left"/>
    </xf>
    <xf numFmtId="166" fontId="0" fillId="10" borderId="21" xfId="0" applyNumberFormat="1" applyFill="1" applyBorder="1" applyAlignment="1">
      <alignment horizontal="left"/>
    </xf>
    <xf numFmtId="0" fontId="3" fillId="0" borderId="21" xfId="2" applyFill="1" applyBorder="1" applyAlignment="1">
      <alignment horizontal="left"/>
    </xf>
    <xf numFmtId="0" fontId="0" fillId="11" borderId="21" xfId="0" applyFill="1" applyBorder="1"/>
    <xf numFmtId="0" fontId="0" fillId="0" borderId="49" xfId="0" applyBorder="1" applyAlignment="1">
      <alignment horizontal="center"/>
    </xf>
    <xf numFmtId="0" fontId="0" fillId="0" borderId="33" xfId="0" applyBorder="1"/>
    <xf numFmtId="0" fontId="0" fillId="2" borderId="28" xfId="0" applyFill="1" applyBorder="1"/>
    <xf numFmtId="0" fontId="0" fillId="2" borderId="50" xfId="0" applyFill="1" applyBorder="1"/>
    <xf numFmtId="0" fontId="17" fillId="0" borderId="0" xfId="0" applyFont="1"/>
    <xf numFmtId="0" fontId="0" fillId="0" borderId="28" xfId="0" applyBorder="1" applyAlignment="1">
      <alignment horizontal="center"/>
    </xf>
    <xf numFmtId="1" fontId="2" fillId="0" borderId="28" xfId="0" applyNumberFormat="1" applyFont="1" applyBorder="1"/>
    <xf numFmtId="1" fontId="0" fillId="10" borderId="27" xfId="0" applyNumberFormat="1" applyFill="1" applyBorder="1" applyAlignment="1">
      <alignment horizontal="center" vertical="center"/>
    </xf>
    <xf numFmtId="0" fontId="0" fillId="10" borderId="27" xfId="0" applyFill="1" applyBorder="1" applyAlignment="1">
      <alignment wrapText="1"/>
    </xf>
    <xf numFmtId="164" fontId="0" fillId="10" borderId="27" xfId="0" applyNumberFormat="1" applyFill="1" applyBorder="1"/>
    <xf numFmtId="14" fontId="0" fillId="2" borderId="29" xfId="0" applyNumberFormat="1" applyFill="1" applyBorder="1"/>
    <xf numFmtId="0" fontId="2" fillId="0" borderId="17" xfId="0" applyFont="1" applyBorder="1" applyAlignment="1">
      <alignment horizontal="center"/>
    </xf>
    <xf numFmtId="14" fontId="0" fillId="2" borderId="21" xfId="0" applyNumberFormat="1" applyFill="1" applyBorder="1"/>
    <xf numFmtId="0" fontId="0" fillId="0" borderId="40" xfId="0" applyBorder="1"/>
    <xf numFmtId="0" fontId="0" fillId="4" borderId="21" xfId="0" applyFill="1" applyBorder="1"/>
    <xf numFmtId="0" fontId="4" fillId="0" borderId="0" xfId="0" applyFont="1" applyAlignment="1">
      <alignment horizontal="center"/>
    </xf>
    <xf numFmtId="14" fontId="0" fillId="9" borderId="17" xfId="0" applyNumberFormat="1" applyFill="1" applyBorder="1" applyAlignment="1">
      <alignment horizontal="center"/>
    </xf>
    <xf numFmtId="14" fontId="0" fillId="9" borderId="18" xfId="0" applyNumberFormat="1" applyFill="1" applyBorder="1" applyAlignment="1">
      <alignment horizontal="center"/>
    </xf>
    <xf numFmtId="14" fontId="0" fillId="9" borderId="19" xfId="0" applyNumberForma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2" fillId="0" borderId="10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1" fontId="2" fillId="7" borderId="0" xfId="0" applyNumberFormat="1" applyFont="1" applyFill="1" applyAlignment="1">
      <alignment horizontal="center"/>
    </xf>
    <xf numFmtId="0" fontId="2" fillId="0" borderId="12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2" fillId="4" borderId="18" xfId="0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/>
    </xf>
    <xf numFmtId="0" fontId="10" fillId="2" borderId="27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" fontId="1" fillId="0" borderId="0" xfId="0" applyNumberFormat="1" applyFont="1"/>
  </cellXfs>
  <cellStyles count="3">
    <cellStyle name="Hyperlink" xfId="2" xr:uid="{00000000-000B-0000-0000-000008000000}"/>
    <cellStyle name="Lien hypertexte" xfId="1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0">
    <v>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r.choual@razel-bec.fayat.com" TargetMode="External"/><Relationship Id="rId13" Type="http://schemas.openxmlformats.org/officeDocument/2006/relationships/hyperlink" Target="mailto:patrickhollebecque@gmail.com" TargetMode="External"/><Relationship Id="rId3" Type="http://schemas.openxmlformats.org/officeDocument/2006/relationships/hyperlink" Target="Balon_Philippe" TargetMode="External"/><Relationship Id="rId7" Type="http://schemas.openxmlformats.org/officeDocument/2006/relationships/hyperlink" Target="mailto:m.petit@razel-bec.fayat.com" TargetMode="External"/><Relationship Id="rId12" Type="http://schemas.openxmlformats.org/officeDocument/2006/relationships/hyperlink" Target="mailto:fr.defour@razel-bec.fayat.com" TargetMode="External"/><Relationship Id="rId2" Type="http://schemas.openxmlformats.org/officeDocument/2006/relationships/hyperlink" Target="Balon_Philippe" TargetMode="External"/><Relationship Id="rId1" Type="http://schemas.openxmlformats.org/officeDocument/2006/relationships/hyperlink" Target="Balon_Philippe" TargetMode="External"/><Relationship Id="rId6" Type="http://schemas.openxmlformats.org/officeDocument/2006/relationships/hyperlink" Target="mailto:b.mpode@razel-bec.fayat.com" TargetMode="External"/><Relationship Id="rId11" Type="http://schemas.openxmlformats.org/officeDocument/2006/relationships/hyperlink" Target="mailto:oudina.hakim@gmail.com" TargetMode="External"/><Relationship Id="rId5" Type="http://schemas.openxmlformats.org/officeDocument/2006/relationships/hyperlink" Target="mailto:thibault.favin-leveque@universite-paris-saclay.fr" TargetMode="External"/><Relationship Id="rId15" Type="http://schemas.openxmlformats.org/officeDocument/2006/relationships/printerSettings" Target="../printerSettings/printerSettings2.bin"/><Relationship Id="rId10" Type="http://schemas.openxmlformats.org/officeDocument/2006/relationships/hyperlink" Target="mailto:r.douet@razel-bec.fayat.com" TargetMode="External"/><Relationship Id="rId4" Type="http://schemas.openxmlformats.org/officeDocument/2006/relationships/hyperlink" Target="mailto:anais.vaillant13@gmail.com" TargetMode="External"/><Relationship Id="rId9" Type="http://schemas.openxmlformats.org/officeDocument/2006/relationships/hyperlink" Target="mailto:j.houot@razel-bec.fayat.com" TargetMode="External"/><Relationship Id="rId14" Type="http://schemas.openxmlformats.org/officeDocument/2006/relationships/hyperlink" Target="mailto:ibrahim.traore37@hot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../../Documents/Suivi%20Badges/Balon_Philippe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mailto:salima.rupaud@proman-interim.com" TargetMode="External"/><Relationship Id="rId21" Type="http://schemas.openxmlformats.org/officeDocument/2006/relationships/hyperlink" Target="mailto:m.metro@decoupserviceplus.fr" TargetMode="External"/><Relationship Id="rId42" Type="http://schemas.openxmlformats.org/officeDocument/2006/relationships/hyperlink" Target="mailto:c.soares@sgtd.com" TargetMode="External"/><Relationship Id="rId47" Type="http://schemas.openxmlformats.org/officeDocument/2006/relationships/hyperlink" Target="mailto:o.david@t2gl.fr" TargetMode="External"/><Relationship Id="rId63" Type="http://schemas.openxmlformats.org/officeDocument/2006/relationships/hyperlink" Target="mailto:elias.gerardin@pne.totalenergies.com" TargetMode="External"/><Relationship Id="rId68" Type="http://schemas.openxmlformats.org/officeDocument/2006/relationships/hyperlink" Target="mailto:contact@idf-logistique.fr" TargetMode="External"/><Relationship Id="rId84" Type="http://schemas.openxmlformats.org/officeDocument/2006/relationships/hyperlink" Target="mailto:ontact@sotecnisol.fr" TargetMode="External"/><Relationship Id="rId89" Type="http://schemas.openxmlformats.org/officeDocument/2006/relationships/printerSettings" Target="../printerSettings/printerSettings5.bin"/><Relationship Id="rId16" Type="http://schemas.openxmlformats.org/officeDocument/2006/relationships/hyperlink" Target="mailto:ael@prunieres.com" TargetMode="External"/><Relationship Id="rId11" Type="http://schemas.openxmlformats.org/officeDocument/2006/relationships/hyperlink" Target="mailto:n.billot@vsiem.fr" TargetMode="External"/><Relationship Id="rId32" Type="http://schemas.openxmlformats.org/officeDocument/2006/relationships/hyperlink" Target="mailto:ornella.granata@r2t-groupe.com" TargetMode="External"/><Relationship Id="rId37" Type="http://schemas.openxmlformats.org/officeDocument/2006/relationships/hyperlink" Target="mailto:d.guinodeau@airandport.com" TargetMode="External"/><Relationship Id="rId53" Type="http://schemas.openxmlformats.org/officeDocument/2006/relationships/hyperlink" Target="mailto:f.gille@mediaco.fr" TargetMode="External"/><Relationship Id="rId58" Type="http://schemas.openxmlformats.org/officeDocument/2006/relationships/hyperlink" Target="mailto:yohann.gonzalez@barillet.fr" TargetMode="External"/><Relationship Id="rId74" Type="http://schemas.openxmlformats.org/officeDocument/2006/relationships/hyperlink" Target="mailto:emma.garzitto@mauffrey.com" TargetMode="External"/><Relationship Id="rId79" Type="http://schemas.openxmlformats.org/officeDocument/2006/relationships/hyperlink" Target="mailto:halim.hatabi@transport-uls.com" TargetMode="External"/><Relationship Id="rId5" Type="http://schemas.openxmlformats.org/officeDocument/2006/relationships/hyperlink" Target="mailto:acaselles@uby-group.com" TargetMode="External"/><Relationship Id="rId14" Type="http://schemas.openxmlformats.org/officeDocument/2006/relationships/hyperlink" Target="mailto:parisus@yahoo.com" TargetMode="External"/><Relationship Id="rId22" Type="http://schemas.openxmlformats.org/officeDocument/2006/relationships/hyperlink" Target="mailto:pbernard@erf-france.fr" TargetMode="External"/><Relationship Id="rId27" Type="http://schemas.openxmlformats.org/officeDocument/2006/relationships/hyperlink" Target="mailto:rmaservicesidf@gmail.com" TargetMode="External"/><Relationship Id="rId30" Type="http://schemas.openxmlformats.org/officeDocument/2006/relationships/hyperlink" Target="mailto:nelson.dacosta@altaroad.com" TargetMode="External"/><Relationship Id="rId35" Type="http://schemas.openxmlformats.org/officeDocument/2006/relationships/hyperlink" Target="mailto:s.prat@aquapaysage.fr" TargetMode="External"/><Relationship Id="rId43" Type="http://schemas.openxmlformats.org/officeDocument/2006/relationships/hyperlink" Target="mailto:c.lebeau@infraneo.com" TargetMode="External"/><Relationship Id="rId48" Type="http://schemas.openxmlformats.org/officeDocument/2006/relationships/hyperlink" Target="mailto:paula@vialis-tp.fr" TargetMode="External"/><Relationship Id="rId56" Type="http://schemas.openxmlformats.org/officeDocument/2006/relationships/hyperlink" Target="mailto:stephane.boursier@ruhlgroup.com" TargetMode="External"/><Relationship Id="rId64" Type="http://schemas.openxmlformats.org/officeDocument/2006/relationships/hyperlink" Target="mailto:zakariaa.lihiani@humando.fr" TargetMode="External"/><Relationship Id="rId69" Type="http://schemas.openxmlformats.org/officeDocument/2006/relationships/hyperlink" Target="mailto:tpsbizet@gmail.com" TargetMode="External"/><Relationship Id="rId77" Type="http://schemas.openxmlformats.org/officeDocument/2006/relationships/hyperlink" Target="mailto:rsorlin@pol-en.com" TargetMode="External"/><Relationship Id="rId8" Type="http://schemas.openxmlformats.org/officeDocument/2006/relationships/hyperlink" Target="mailto:a.rameau@fmgp.fayat.com" TargetMode="External"/><Relationship Id="rId51" Type="http://schemas.openxmlformats.org/officeDocument/2006/relationships/hyperlink" Target="mailto:reception@eltd-snv.fr" TargetMode="External"/><Relationship Id="rId72" Type="http://schemas.openxmlformats.org/officeDocument/2006/relationships/hyperlink" Target="mailto:transports-hardy@gmail.com" TargetMode="External"/><Relationship Id="rId80" Type="http://schemas.openxmlformats.org/officeDocument/2006/relationships/hyperlink" Target="mailto:kguerenneur@telstar.fr" TargetMode="External"/><Relationship Id="rId85" Type="http://schemas.openxmlformats.org/officeDocument/2006/relationships/hyperlink" Target="mailto:p.samson@wolffkran.fr" TargetMode="External"/><Relationship Id="rId3" Type="http://schemas.openxmlformats.org/officeDocument/2006/relationships/hyperlink" Target="mailto:marylin.dembele@sites.fr" TargetMode="External"/><Relationship Id="rId12" Type="http://schemas.openxmlformats.org/officeDocument/2006/relationships/hyperlink" Target="mailto:sastp@hotmail.com" TargetMode="External"/><Relationship Id="rId17" Type="http://schemas.openxmlformats.org/officeDocument/2006/relationships/hyperlink" Target="mailto:mathieu.dumont@socafl.com" TargetMode="External"/><Relationship Id="rId25" Type="http://schemas.openxmlformats.org/officeDocument/2006/relationships/hyperlink" Target="mailto:dominique.morel@moussy-services.fr" TargetMode="External"/><Relationship Id="rId33" Type="http://schemas.openxmlformats.org/officeDocument/2006/relationships/hyperlink" Target="mailto:f.dumoulin@ihl.fr" TargetMode="External"/><Relationship Id="rId38" Type="http://schemas.openxmlformats.org/officeDocument/2006/relationships/hyperlink" Target="mailto:herve.pellischek@eqiom.com" TargetMode="External"/><Relationship Id="rId46" Type="http://schemas.openxmlformats.org/officeDocument/2006/relationships/hyperlink" Target="mailto:p.dy@sfr.fr" TargetMode="External"/><Relationship Id="rId59" Type="http://schemas.openxmlformats.org/officeDocument/2006/relationships/hyperlink" Target="mailto:jsaridas@clamens.fr" TargetMode="External"/><Relationship Id="rId67" Type="http://schemas.openxmlformats.org/officeDocument/2006/relationships/hyperlink" Target="mailto:l.ramel@premat.com" TargetMode="External"/><Relationship Id="rId20" Type="http://schemas.openxmlformats.org/officeDocument/2006/relationships/hyperlink" Target="mailto:thibault.sanson@dsd-firoc.com" TargetMode="External"/><Relationship Id="rId41" Type="http://schemas.openxmlformats.org/officeDocument/2006/relationships/hyperlink" Target="mailto:mbouftass@groupe-ect.com" TargetMode="External"/><Relationship Id="rId54" Type="http://schemas.openxmlformats.org/officeDocument/2006/relationships/hyperlink" Target="mailto:cg@gleizon.com" TargetMode="External"/><Relationship Id="rId62" Type="http://schemas.openxmlformats.org/officeDocument/2006/relationships/hyperlink" Target="mailto:smalatre@apc-ingenierie.com" TargetMode="External"/><Relationship Id="rId70" Type="http://schemas.openxmlformats.org/officeDocument/2006/relationships/hyperlink" Target="mailto:andrea.machado@ravionscors.fr" TargetMode="External"/><Relationship Id="rId75" Type="http://schemas.openxmlformats.org/officeDocument/2006/relationships/hyperlink" Target="mailto:marine.carraro@synergie.fr" TargetMode="External"/><Relationship Id="rId83" Type="http://schemas.openxmlformats.org/officeDocument/2006/relationships/hyperlink" Target="mailto:nuno.teixeira@enco-loc.com" TargetMode="External"/><Relationship Id="rId88" Type="http://schemas.openxmlformats.org/officeDocument/2006/relationships/hyperlink" Target="mailto:flora.rouvier@pointp.fr" TargetMode="External"/><Relationship Id="rId1" Type="http://schemas.openxmlformats.org/officeDocument/2006/relationships/hyperlink" Target="mailto:scoulibaly@coteg-sa.fr" TargetMode="External"/><Relationship Id="rId6" Type="http://schemas.openxmlformats.org/officeDocument/2006/relationships/hyperlink" Target="mailto:a.bondy@franki.fayat.com" TargetMode="External"/><Relationship Id="rId15" Type="http://schemas.openxmlformats.org/officeDocument/2006/relationships/hyperlink" Target="mailto:np@prunieres.com" TargetMode="External"/><Relationship Id="rId23" Type="http://schemas.openxmlformats.org/officeDocument/2006/relationships/hyperlink" Target="mailto:celiane.osiecki@foselev.fr" TargetMode="External"/><Relationship Id="rId28" Type="http://schemas.openxmlformats.org/officeDocument/2006/relationships/hyperlink" Target="mailto:p.cauvin@tpso.fr" TargetMode="External"/><Relationship Id="rId36" Type="http://schemas.openxmlformats.org/officeDocument/2006/relationships/hyperlink" Target="mailto:atobias@fominvest.fr" TargetMode="External"/><Relationship Id="rId49" Type="http://schemas.openxmlformats.org/officeDocument/2006/relationships/hyperlink" Target="mailto:l.bennahmias@energie.fayat.com" TargetMode="External"/><Relationship Id="rId57" Type="http://schemas.openxmlformats.org/officeDocument/2006/relationships/hyperlink" Target="mailto:somtrater@orange.fr" TargetMode="External"/><Relationship Id="rId10" Type="http://schemas.openxmlformats.org/officeDocument/2006/relationships/hyperlink" Target="mailto:nghaleb@kiloutou.frr" TargetMode="External"/><Relationship Id="rId31" Type="http://schemas.openxmlformats.org/officeDocument/2006/relationships/hyperlink" Target="mailto:karen.tisserand@groupevitaminet.com" TargetMode="External"/><Relationship Id="rId44" Type="http://schemas.openxmlformats.org/officeDocument/2006/relationships/hyperlink" Target="mailto:azd.bati.idf@outlook.fr" TargetMode="External"/><Relationship Id="rId52" Type="http://schemas.openxmlformats.org/officeDocument/2006/relationships/hyperlink" Target="mailto:landry.siku@foselev.fr" TargetMode="External"/><Relationship Id="rId60" Type="http://schemas.openxmlformats.org/officeDocument/2006/relationships/hyperlink" Target="mailto:bc@cgl.fr" TargetMode="External"/><Relationship Id="rId65" Type="http://schemas.openxmlformats.org/officeDocument/2006/relationships/hyperlink" Target="mailto:ja.disci@eol-interim.com" TargetMode="External"/><Relationship Id="rId73" Type="http://schemas.openxmlformats.org/officeDocument/2006/relationships/hyperlink" Target="mailto:zakariaa.lihiani@humando.fr" TargetMode="External"/><Relationship Id="rId78" Type="http://schemas.openxmlformats.org/officeDocument/2006/relationships/hyperlink" Target="mailto:nouhad.bechara@hilti.com" TargetMode="External"/><Relationship Id="rId81" Type="http://schemas.openxmlformats.org/officeDocument/2006/relationships/hyperlink" Target="mailto:rcouturier@domino-rh.com" TargetMode="External"/><Relationship Id="rId86" Type="http://schemas.openxmlformats.org/officeDocument/2006/relationships/hyperlink" Target="mailto:m.sunassee@planet-inter.fr" TargetMode="External"/><Relationship Id="rId4" Type="http://schemas.openxmlformats.org/officeDocument/2006/relationships/hyperlink" Target="mailto:mayssa.maktouf@socotec.com" TargetMode="External"/><Relationship Id="rId9" Type="http://schemas.openxmlformats.org/officeDocument/2006/relationships/hyperlink" Target="mailto:b.bryon@saml.fayat.com" TargetMode="External"/><Relationship Id="rId13" Type="http://schemas.openxmlformats.org/officeDocument/2006/relationships/hyperlink" Target="mailto:t.enguerhard@riviere-transport.fr" TargetMode="External"/><Relationship Id="rId18" Type="http://schemas.openxmlformats.org/officeDocument/2006/relationships/hyperlink" Target="mailto:transport-sur@hotmail.com" TargetMode="External"/><Relationship Id="rId39" Type="http://schemas.openxmlformats.org/officeDocument/2006/relationships/hyperlink" Target="mailto:torrette@torrette.fr" TargetMode="External"/><Relationship Id="rId34" Type="http://schemas.openxmlformats.org/officeDocument/2006/relationships/hyperlink" Target="mailto:ra.btp.paris@samsic-emploi.fr" TargetMode="External"/><Relationship Id="rId50" Type="http://schemas.openxmlformats.org/officeDocument/2006/relationships/hyperlink" Target="mailto:pacocogemat@gmail.com" TargetMode="External"/><Relationship Id="rId55" Type="http://schemas.openxmlformats.org/officeDocument/2006/relationships/hyperlink" Target="mailto:p.araujo@egka-fr.com" TargetMode="External"/><Relationship Id="rId76" Type="http://schemas.openxmlformats.org/officeDocument/2006/relationships/hyperlink" Target="mailto:mchetivaux@xl-industries.fr" TargetMode="External"/><Relationship Id="rId7" Type="http://schemas.openxmlformats.org/officeDocument/2006/relationships/hyperlink" Target="mailto:abt75020@gmail.com" TargetMode="External"/><Relationship Id="rId71" Type="http://schemas.openxmlformats.org/officeDocument/2006/relationships/hyperlink" Target="mailto:bruno.sculfort@sotramo.fr" TargetMode="External"/><Relationship Id="rId2" Type="http://schemas.openxmlformats.org/officeDocument/2006/relationships/hyperlink" Target="mailto:k.alonge@bestaprotection.com" TargetMode="External"/><Relationship Id="rId29" Type="http://schemas.openxmlformats.org/officeDocument/2006/relationships/hyperlink" Target="mailto:celiane.osiecki@foselev.fr" TargetMode="External"/><Relationship Id="rId24" Type="http://schemas.openxmlformats.org/officeDocument/2006/relationships/hyperlink" Target="mailto:np@prunieres.com" TargetMode="External"/><Relationship Id="rId40" Type="http://schemas.openxmlformats.org/officeDocument/2006/relationships/hyperlink" Target="mailto:ludivine@nordsignalisation.com" TargetMode="External"/><Relationship Id="rId45" Type="http://schemas.openxmlformats.org/officeDocument/2006/relationships/hyperlink" Target="mailto:c.soares@sgtd.com" TargetMode="External"/><Relationship Id="rId66" Type="http://schemas.openxmlformats.org/officeDocument/2006/relationships/hyperlink" Target="mailto:y.radelet@teg-ge.fr" TargetMode="External"/><Relationship Id="rId87" Type="http://schemas.openxmlformats.org/officeDocument/2006/relationships/hyperlink" Target="mailto:securiteorealis@bestaprotection.fr" TargetMode="External"/><Relationship Id="rId61" Type="http://schemas.openxmlformats.org/officeDocument/2006/relationships/hyperlink" Target="mailto:contact.luzotp@gmail.com" TargetMode="External"/><Relationship Id="rId82" Type="http://schemas.openxmlformats.org/officeDocument/2006/relationships/hyperlink" Target="mailto:contact.creutzwald@axia-interim.com" TargetMode="External"/><Relationship Id="rId19" Type="http://schemas.openxmlformats.org/officeDocument/2006/relationships/hyperlink" Target="mailto:besin.tp@laposte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D330B-5FB9-4F32-B7F4-EF7742724508}">
  <dimension ref="A2:A35"/>
  <sheetViews>
    <sheetView workbookViewId="0">
      <selection activeCell="H15" sqref="H15"/>
    </sheetView>
  </sheetViews>
  <sheetFormatPr defaultColWidth="11.42578125" defaultRowHeight="15"/>
  <sheetData>
    <row r="2" spans="1:1">
      <c r="A2" s="7" t="s">
        <v>0</v>
      </c>
    </row>
    <row r="4" spans="1:1">
      <c r="A4" t="s">
        <v>1</v>
      </c>
    </row>
    <row r="5" spans="1:1" ht="8.1" customHeight="1"/>
    <row r="6" spans="1:1">
      <c r="A6" t="s">
        <v>2</v>
      </c>
    </row>
    <row r="7" spans="1:1" ht="8.1" customHeight="1"/>
    <row r="8" spans="1:1">
      <c r="A8" t="s">
        <v>3</v>
      </c>
    </row>
    <row r="9" spans="1:1" ht="8.1" customHeight="1"/>
    <row r="10" spans="1:1">
      <c r="A10" t="s">
        <v>4</v>
      </c>
    </row>
    <row r="11" spans="1:1" ht="8.1" customHeight="1"/>
    <row r="12" spans="1:1" ht="8.1" customHeight="1">
      <c r="A12" t="s">
        <v>5</v>
      </c>
    </row>
    <row r="13" spans="1:1" ht="8.1" customHeight="1"/>
    <row r="14" spans="1:1" ht="14.25" customHeight="1">
      <c r="A14" t="s">
        <v>6</v>
      </c>
    </row>
    <row r="15" spans="1:1" ht="8.1" customHeight="1"/>
    <row r="16" spans="1:1">
      <c r="A16" t="s">
        <v>7</v>
      </c>
    </row>
    <row r="17" spans="1:1" ht="8.1" customHeight="1"/>
    <row r="18" spans="1:1">
      <c r="A18" t="s">
        <v>8</v>
      </c>
    </row>
    <row r="19" spans="1:1" ht="8.1" customHeight="1"/>
    <row r="20" spans="1:1">
      <c r="A20" t="s">
        <v>9</v>
      </c>
    </row>
    <row r="21" spans="1:1" ht="8.1" customHeight="1"/>
    <row r="23" spans="1:1">
      <c r="A23" s="7" t="s">
        <v>10</v>
      </c>
    </row>
    <row r="25" spans="1:1">
      <c r="A25" t="s">
        <v>11</v>
      </c>
    </row>
    <row r="26" spans="1:1" ht="8.1" customHeight="1"/>
    <row r="27" spans="1:1">
      <c r="A27" t="s">
        <v>12</v>
      </c>
    </row>
    <row r="28" spans="1:1" ht="8.1" customHeight="1"/>
    <row r="30" spans="1:1">
      <c r="A30" s="7" t="s">
        <v>13</v>
      </c>
    </row>
    <row r="32" spans="1:1">
      <c r="A32" t="s">
        <v>14</v>
      </c>
    </row>
    <row r="33" spans="1:1" ht="8.1" customHeight="1"/>
    <row r="34" spans="1:1">
      <c r="A34" t="s">
        <v>15</v>
      </c>
    </row>
    <row r="35" spans="1:1" ht="8.1" customHeight="1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EC02C-1AC7-4D56-A847-B43F4F77283D}">
  <sheetPr filterMode="1">
    <pageSetUpPr fitToPage="1"/>
  </sheetPr>
  <dimension ref="A1:AK213"/>
  <sheetViews>
    <sheetView tabSelected="1" zoomScale="85" zoomScaleNormal="85" workbookViewId="0">
      <selection activeCell="J18" sqref="J18"/>
    </sheetView>
  </sheetViews>
  <sheetFormatPr defaultColWidth="11.42578125" defaultRowHeight="15" outlineLevelCol="1"/>
  <cols>
    <col min="1" max="1" width="8.85546875" style="35" bestFit="1" customWidth="1"/>
    <col min="2" max="2" width="31.28515625" bestFit="1" customWidth="1"/>
    <col min="3" max="3" width="19.140625" bestFit="1" customWidth="1"/>
    <col min="4" max="4" width="10.7109375" hidden="1" customWidth="1" outlineLevel="1"/>
    <col min="5" max="5" width="4.42578125" style="45" hidden="1" customWidth="1" outlineLevel="1"/>
    <col min="6" max="6" width="46.7109375" hidden="1" customWidth="1" outlineLevel="1"/>
    <col min="7" max="7" width="9.42578125" style="13" hidden="1" customWidth="1" outlineLevel="1"/>
    <col min="8" max="8" width="27.28515625" hidden="1" customWidth="1" outlineLevel="1"/>
    <col min="9" max="9" width="44.7109375" hidden="1" customWidth="1" outlineLevel="1"/>
    <col min="10" max="10" width="16" hidden="1" customWidth="1" outlineLevel="1"/>
    <col min="11" max="11" width="26.85546875" style="18" hidden="1" customWidth="1" outlineLevel="1"/>
    <col min="12" max="12" width="13.5703125" style="18" hidden="1" customWidth="1" outlineLevel="1"/>
    <col min="13" max="13" width="21.5703125" style="18" hidden="1" customWidth="1" outlineLevel="1"/>
    <col min="14" max="14" width="16.5703125" style="18" hidden="1" customWidth="1" outlineLevel="1"/>
    <col min="15" max="16" width="6.140625" style="18" hidden="1" customWidth="1" outlineLevel="1"/>
    <col min="17" max="17" width="39.140625" customWidth="1" collapsed="1"/>
    <col min="18" max="18" width="11.42578125" bestFit="1" customWidth="1"/>
    <col min="19" max="19" width="16.42578125" customWidth="1"/>
    <col min="20" max="20" width="12" customWidth="1"/>
    <col min="21" max="22" width="6.5703125" style="18" hidden="1" customWidth="1" outlineLevel="1"/>
    <col min="23" max="23" width="9.85546875" style="18" hidden="1" customWidth="1" outlineLevel="1"/>
    <col min="24" max="25" width="8.7109375" style="18" hidden="1" customWidth="1" outlineLevel="1"/>
    <col min="26" max="26" width="8" style="18" hidden="1" customWidth="1" outlineLevel="1"/>
    <col min="27" max="27" width="13.140625" customWidth="1" collapsed="1"/>
    <col min="28" max="28" width="15.85546875" customWidth="1"/>
    <col min="29" max="29" width="17.42578125" style="35" customWidth="1"/>
    <col min="30" max="30" width="13.42578125" style="43" customWidth="1"/>
    <col min="31" max="31" width="12" style="43" customWidth="1"/>
    <col min="32" max="32" width="13.140625" style="43" customWidth="1"/>
    <col min="33" max="33" width="15.85546875" style="43" customWidth="1"/>
    <col min="35" max="35" width="11.7109375" style="134" bestFit="1" customWidth="1"/>
  </cols>
  <sheetData>
    <row r="1" spans="1:35" ht="18.75">
      <c r="A1" s="435" t="s">
        <v>16</v>
      </c>
      <c r="B1" s="435"/>
      <c r="C1" s="435"/>
      <c r="D1" s="435"/>
      <c r="E1" s="435"/>
      <c r="F1" s="435"/>
      <c r="G1" s="435"/>
      <c r="H1" s="435"/>
      <c r="I1" s="435"/>
      <c r="J1" s="435"/>
      <c r="K1" s="435"/>
      <c r="L1" s="435"/>
      <c r="M1" s="435"/>
      <c r="N1" s="435"/>
      <c r="O1" s="435"/>
      <c r="P1" s="435"/>
      <c r="Q1" s="435"/>
      <c r="R1" s="435"/>
      <c r="S1" s="435"/>
      <c r="T1" s="435"/>
      <c r="U1" s="435"/>
      <c r="V1" s="435"/>
      <c r="W1" s="435"/>
      <c r="X1" s="435"/>
      <c r="Y1" s="435"/>
      <c r="Z1" s="435"/>
      <c r="AA1" s="435"/>
      <c r="AB1" s="435"/>
      <c r="AC1" s="435"/>
      <c r="AD1" s="435"/>
      <c r="AE1" s="435"/>
      <c r="AF1" s="435"/>
      <c r="AG1" s="435"/>
    </row>
    <row r="2" spans="1:35" ht="27.6" customHeight="1">
      <c r="B2" t="e" vm="1">
        <v>#VALUE!</v>
      </c>
      <c r="C2" s="43">
        <f ca="1">TODAY()</f>
        <v>46142</v>
      </c>
      <c r="D2" s="43">
        <f ca="1">TODAY()</f>
        <v>46142</v>
      </c>
    </row>
    <row r="3" spans="1:35">
      <c r="A3" s="36" t="s">
        <v>17</v>
      </c>
      <c r="B3" s="54" t="s">
        <v>18</v>
      </c>
    </row>
    <row r="4" spans="1:35">
      <c r="A4" s="132"/>
      <c r="B4" s="392" t="s">
        <v>19</v>
      </c>
      <c r="C4" s="108" t="s">
        <v>20</v>
      </c>
      <c r="D4" s="109">
        <v>23105</v>
      </c>
      <c r="E4" s="94"/>
      <c r="F4" s="110"/>
      <c r="G4" s="111"/>
      <c r="H4" s="108"/>
      <c r="I4" s="108"/>
      <c r="J4" s="108"/>
      <c r="K4" s="112"/>
      <c r="L4" s="112"/>
      <c r="M4" s="112"/>
      <c r="N4" s="112"/>
      <c r="O4" s="112"/>
      <c r="P4" s="112"/>
      <c r="Q4" s="108"/>
      <c r="R4" s="108"/>
      <c r="S4" s="108"/>
      <c r="T4" s="108" t="s">
        <v>21</v>
      </c>
      <c r="U4" s="112"/>
      <c r="V4" s="112"/>
      <c r="W4" s="112"/>
      <c r="X4" s="112"/>
      <c r="Y4" s="112"/>
      <c r="Z4" s="112"/>
      <c r="AA4" s="109">
        <v>45266</v>
      </c>
      <c r="AB4" s="108" t="s">
        <v>22</v>
      </c>
      <c r="AC4" s="268">
        <v>45308</v>
      </c>
      <c r="AD4" s="109" t="s">
        <v>23</v>
      </c>
      <c r="AE4" s="268">
        <v>45329</v>
      </c>
      <c r="AF4" s="109"/>
      <c r="AG4" s="109" t="str">
        <f>IF(AF4="","",AF4+365.25*3)</f>
        <v/>
      </c>
    </row>
    <row r="5" spans="1:35">
      <c r="A5" s="132"/>
      <c r="B5" s="179" t="s">
        <v>24</v>
      </c>
      <c r="C5" s="108" t="s">
        <v>25</v>
      </c>
      <c r="D5" s="109"/>
      <c r="E5" s="94"/>
      <c r="F5" s="110"/>
      <c r="G5" s="111"/>
      <c r="H5" s="108"/>
      <c r="I5" s="108"/>
      <c r="J5" s="108"/>
      <c r="K5" s="112"/>
      <c r="L5" s="112"/>
      <c r="M5" s="112"/>
      <c r="N5" s="112"/>
      <c r="O5" s="112"/>
      <c r="P5" s="112"/>
      <c r="Q5" s="108"/>
      <c r="R5" s="108"/>
      <c r="S5" s="108"/>
      <c r="T5" s="108"/>
      <c r="U5" s="112"/>
      <c r="V5" s="112"/>
      <c r="W5" s="112"/>
      <c r="X5" s="112"/>
      <c r="Y5" s="112"/>
      <c r="Z5" s="112"/>
      <c r="AA5" s="109"/>
      <c r="AB5" s="108" t="s">
        <v>22</v>
      </c>
      <c r="AC5" s="268">
        <v>46050</v>
      </c>
      <c r="AD5" s="109" t="s">
        <v>23</v>
      </c>
      <c r="AE5" s="268">
        <v>46105</v>
      </c>
      <c r="AF5" s="109"/>
      <c r="AG5" s="109"/>
    </row>
    <row r="6" spans="1:35">
      <c r="A6" s="132"/>
      <c r="B6" s="209" t="s">
        <v>26</v>
      </c>
      <c r="C6" s="108" t="s">
        <v>27</v>
      </c>
      <c r="D6" s="108"/>
      <c r="E6" s="94"/>
      <c r="F6" s="108"/>
      <c r="G6" s="111"/>
      <c r="H6" s="108"/>
      <c r="I6" s="108"/>
      <c r="J6" s="108"/>
      <c r="K6" s="112"/>
      <c r="L6" s="112"/>
      <c r="M6" s="112"/>
      <c r="N6" s="112"/>
      <c r="O6" s="112"/>
      <c r="P6" s="112"/>
      <c r="Q6" s="108"/>
      <c r="R6" s="108"/>
      <c r="S6" s="108"/>
      <c r="T6" s="108"/>
      <c r="U6" s="112"/>
      <c r="V6" s="112"/>
      <c r="W6" s="112"/>
      <c r="X6" s="112"/>
      <c r="Y6" s="112"/>
      <c r="Z6" s="112"/>
      <c r="AA6" s="108"/>
      <c r="AB6" s="108" t="s">
        <v>22</v>
      </c>
      <c r="AC6" s="268">
        <v>46119</v>
      </c>
      <c r="AD6" s="109" t="s">
        <v>23</v>
      </c>
      <c r="AE6" s="432">
        <v>46204</v>
      </c>
      <c r="AF6" s="109"/>
      <c r="AG6" s="109"/>
    </row>
    <row r="7" spans="1:35">
      <c r="U7" s="452" t="s">
        <v>28</v>
      </c>
      <c r="V7" s="453"/>
      <c r="W7" s="453"/>
      <c r="X7" s="453"/>
      <c r="Y7" s="453"/>
      <c r="Z7" s="454"/>
    </row>
    <row r="8" spans="1:35" s="15" customFormat="1" ht="45">
      <c r="A8" s="37"/>
      <c r="B8" s="20" t="s">
        <v>29</v>
      </c>
      <c r="C8" s="20" t="s">
        <v>30</v>
      </c>
      <c r="D8" s="21" t="s">
        <v>31</v>
      </c>
      <c r="E8" s="44" t="s">
        <v>32</v>
      </c>
      <c r="F8" s="449" t="s">
        <v>33</v>
      </c>
      <c r="G8" s="450"/>
      <c r="H8" s="451"/>
      <c r="I8" s="368" t="s">
        <v>34</v>
      </c>
      <c r="J8" s="371" t="s">
        <v>35</v>
      </c>
      <c r="K8" s="449" t="s">
        <v>36</v>
      </c>
      <c r="L8" s="451"/>
      <c r="M8" s="449" t="s">
        <v>37</v>
      </c>
      <c r="N8" s="451"/>
      <c r="O8" s="20" t="s">
        <v>38</v>
      </c>
      <c r="P8" s="20" t="s">
        <v>39</v>
      </c>
      <c r="Q8" s="20" t="s">
        <v>40</v>
      </c>
      <c r="R8" s="21" t="s">
        <v>41</v>
      </c>
      <c r="S8" s="21" t="s">
        <v>42</v>
      </c>
      <c r="T8" s="22" t="s">
        <v>43</v>
      </c>
      <c r="U8" s="22" t="s">
        <v>44</v>
      </c>
      <c r="V8" s="22" t="s">
        <v>45</v>
      </c>
      <c r="W8" s="22" t="s">
        <v>46</v>
      </c>
      <c r="X8" s="22" t="s">
        <v>47</v>
      </c>
      <c r="Y8" s="22" t="s">
        <v>48</v>
      </c>
      <c r="Z8" s="22" t="s">
        <v>49</v>
      </c>
      <c r="AA8" s="22" t="s">
        <v>50</v>
      </c>
      <c r="AB8" s="22" t="s">
        <v>51</v>
      </c>
      <c r="AC8" s="83" t="s">
        <v>52</v>
      </c>
      <c r="AD8" s="51" t="s">
        <v>53</v>
      </c>
      <c r="AE8" s="51" t="s">
        <v>54</v>
      </c>
      <c r="AF8" s="51" t="s">
        <v>50</v>
      </c>
      <c r="AG8" s="71" t="s">
        <v>51</v>
      </c>
      <c r="AH8" s="105" t="s">
        <v>55</v>
      </c>
      <c r="AI8" s="135"/>
    </row>
    <row r="9" spans="1:35">
      <c r="A9" s="132"/>
      <c r="B9" s="209" t="s">
        <v>56</v>
      </c>
      <c r="C9" s="108" t="s">
        <v>57</v>
      </c>
      <c r="D9" s="109">
        <v>37863</v>
      </c>
      <c r="E9" s="94">
        <f t="shared" ref="E9:E15" ca="1" si="0">IF(D9="","",($D$2-D9)/365.25)</f>
        <v>22.666666666666668</v>
      </c>
      <c r="F9" s="110" t="s">
        <v>58</v>
      </c>
      <c r="G9" s="111">
        <v>51300</v>
      </c>
      <c r="H9" s="108" t="s">
        <v>59</v>
      </c>
      <c r="I9" s="108"/>
      <c r="J9" s="372"/>
      <c r="K9" s="112" t="s">
        <v>60</v>
      </c>
      <c r="L9" s="112" t="s">
        <v>61</v>
      </c>
      <c r="M9" s="112" t="s">
        <v>62</v>
      </c>
      <c r="N9" s="112" t="s">
        <v>63</v>
      </c>
      <c r="O9" s="112" t="s">
        <v>64</v>
      </c>
      <c r="P9" s="112" t="s">
        <v>65</v>
      </c>
      <c r="Q9" s="108" t="s">
        <v>66</v>
      </c>
      <c r="R9" s="108" t="s">
        <v>67</v>
      </c>
      <c r="S9" s="421"/>
      <c r="T9" s="422" t="s">
        <v>68</v>
      </c>
      <c r="U9" s="112"/>
      <c r="V9" s="112"/>
      <c r="W9" s="112" t="s">
        <v>46</v>
      </c>
      <c r="X9" s="112" t="s">
        <v>47</v>
      </c>
      <c r="Y9" s="112"/>
      <c r="Z9" s="112"/>
      <c r="AA9" s="432"/>
      <c r="AB9" s="19" t="str">
        <f t="shared" ref="AB9:AB12" si="1">IF(AA9="","",AA9+365.25*3)</f>
        <v/>
      </c>
      <c r="AC9" s="391"/>
      <c r="AD9" s="339"/>
      <c r="AE9" s="401"/>
      <c r="AF9" s="167"/>
      <c r="AG9" s="340" t="str">
        <f>IF(AD9="",IF(AE9="","",AF9+365.25*2),AF9+365.25*2)</f>
        <v/>
      </c>
      <c r="AH9" s="359"/>
      <c r="AI9"/>
    </row>
    <row r="10" spans="1:35">
      <c r="A10" s="271"/>
      <c r="B10" s="419" t="s">
        <v>69</v>
      </c>
      <c r="C10" s="108" t="s">
        <v>70</v>
      </c>
      <c r="D10" s="109">
        <v>32413</v>
      </c>
      <c r="E10" s="94">
        <f t="shared" ca="1" si="0"/>
        <v>37.587953456536617</v>
      </c>
      <c r="F10" s="110" t="s">
        <v>71</v>
      </c>
      <c r="G10" s="111">
        <v>29200</v>
      </c>
      <c r="H10" s="108" t="s">
        <v>72</v>
      </c>
      <c r="I10" s="397" t="s">
        <v>73</v>
      </c>
      <c r="J10" s="372" t="s">
        <v>74</v>
      </c>
      <c r="K10" s="112" t="s">
        <v>75</v>
      </c>
      <c r="L10" s="112" t="s">
        <v>76</v>
      </c>
      <c r="M10" s="112" t="s">
        <v>77</v>
      </c>
      <c r="N10" s="112" t="s">
        <v>78</v>
      </c>
      <c r="O10" s="292"/>
      <c r="P10" s="112" t="s">
        <v>65</v>
      </c>
      <c r="Q10" s="108" t="s">
        <v>79</v>
      </c>
      <c r="R10" s="291" t="s">
        <v>67</v>
      </c>
      <c r="S10" s="108"/>
      <c r="T10" s="108" t="s">
        <v>68</v>
      </c>
      <c r="U10" s="420"/>
      <c r="V10" s="258"/>
      <c r="W10" s="258" t="s">
        <v>46</v>
      </c>
      <c r="X10" s="258" t="s">
        <v>47</v>
      </c>
      <c r="Y10" s="258"/>
      <c r="Z10" s="258"/>
      <c r="AA10" s="251">
        <v>46113</v>
      </c>
      <c r="AB10" s="19">
        <f t="shared" si="1"/>
        <v>47208.75</v>
      </c>
      <c r="AC10" s="132"/>
      <c r="AD10" s="109"/>
      <c r="AE10" s="288"/>
      <c r="AF10" s="109"/>
      <c r="AG10" s="340" t="str">
        <f t="shared" ref="AG10:AG20" si="2">IF(AD10="",IF(AE10="","",AF10+365.25*2),AF10+365.25*2)</f>
        <v/>
      </c>
      <c r="AH10" s="108"/>
      <c r="AI10"/>
    </row>
    <row r="11" spans="1:35">
      <c r="A11" s="132"/>
      <c r="B11" s="209" t="s">
        <v>80</v>
      </c>
      <c r="C11" s="108" t="s">
        <v>81</v>
      </c>
      <c r="D11" s="109">
        <v>35628</v>
      </c>
      <c r="E11" s="94">
        <f t="shared" ca="1" si="0"/>
        <v>28.785763175906911</v>
      </c>
      <c r="F11" s="110" t="s">
        <v>82</v>
      </c>
      <c r="G11" s="111">
        <v>94230</v>
      </c>
      <c r="H11" s="108" t="s">
        <v>83</v>
      </c>
      <c r="I11" s="397" t="s">
        <v>84</v>
      </c>
      <c r="J11" s="372" t="s">
        <v>85</v>
      </c>
      <c r="K11" s="112" t="s">
        <v>86</v>
      </c>
      <c r="L11" s="112" t="s">
        <v>87</v>
      </c>
      <c r="M11" s="112" t="s">
        <v>88</v>
      </c>
      <c r="N11" s="112" t="s">
        <v>89</v>
      </c>
      <c r="O11" s="112" t="s">
        <v>64</v>
      </c>
      <c r="P11" s="112" t="s">
        <v>65</v>
      </c>
      <c r="Q11" s="108" t="s">
        <v>90</v>
      </c>
      <c r="R11" s="291" t="s">
        <v>67</v>
      </c>
      <c r="S11" s="108"/>
      <c r="T11" s="209" t="s">
        <v>68</v>
      </c>
      <c r="U11" s="420"/>
      <c r="V11" s="258"/>
      <c r="W11" s="258" t="s">
        <v>46</v>
      </c>
      <c r="X11" s="258" t="s">
        <v>47</v>
      </c>
      <c r="Y11" s="258"/>
      <c r="Z11" s="258"/>
      <c r="AA11" s="251"/>
      <c r="AB11" s="19" t="str">
        <f t="shared" si="1"/>
        <v/>
      </c>
      <c r="AC11" s="132"/>
      <c r="AD11" s="109"/>
      <c r="AE11" s="288"/>
      <c r="AF11" s="109"/>
      <c r="AG11" s="340" t="str">
        <f t="shared" si="2"/>
        <v/>
      </c>
      <c r="AH11" s="108"/>
      <c r="AI11"/>
    </row>
    <row r="12" spans="1:35">
      <c r="A12" s="132"/>
      <c r="B12" s="209" t="s">
        <v>91</v>
      </c>
      <c r="C12" s="108" t="s">
        <v>92</v>
      </c>
      <c r="D12" s="109">
        <v>30842</v>
      </c>
      <c r="E12" s="94">
        <f t="shared" ca="1" si="0"/>
        <v>41.889117043121146</v>
      </c>
      <c r="F12" s="349" t="s">
        <v>93</v>
      </c>
      <c r="G12" s="111">
        <v>8130</v>
      </c>
      <c r="H12" s="349" t="s">
        <v>94</v>
      </c>
      <c r="I12" s="349"/>
      <c r="J12" s="374"/>
      <c r="K12" s="347" t="s">
        <v>95</v>
      </c>
      <c r="L12" s="347" t="s">
        <v>96</v>
      </c>
      <c r="M12" s="347" t="s">
        <v>97</v>
      </c>
      <c r="N12" s="347" t="s">
        <v>98</v>
      </c>
      <c r="O12" s="112" t="s">
        <v>99</v>
      </c>
      <c r="P12" s="112" t="s">
        <v>100</v>
      </c>
      <c r="Q12" s="108" t="s">
        <v>101</v>
      </c>
      <c r="R12" s="108" t="s">
        <v>67</v>
      </c>
      <c r="S12" s="254"/>
      <c r="T12" s="423" t="s">
        <v>68</v>
      </c>
      <c r="U12" s="112"/>
      <c r="V12" s="112"/>
      <c r="W12" s="112" t="s">
        <v>46</v>
      </c>
      <c r="X12" s="112" t="s">
        <v>47</v>
      </c>
      <c r="Y12" s="112"/>
      <c r="Z12" s="112"/>
      <c r="AA12" s="109"/>
      <c r="AB12" s="19" t="str">
        <f t="shared" si="1"/>
        <v/>
      </c>
      <c r="AC12" s="132"/>
      <c r="AD12" s="109"/>
      <c r="AE12" s="109"/>
      <c r="AF12" s="109"/>
      <c r="AG12" s="340" t="str">
        <f t="shared" si="2"/>
        <v/>
      </c>
      <c r="AH12" s="108"/>
      <c r="AI12"/>
    </row>
    <row r="13" spans="1:35">
      <c r="A13" s="38"/>
      <c r="B13" s="31" t="s">
        <v>102</v>
      </c>
      <c r="C13" s="4" t="s">
        <v>103</v>
      </c>
      <c r="D13" s="19">
        <v>29593</v>
      </c>
      <c r="E13" s="46">
        <f t="shared" ca="1" si="0"/>
        <v>45.308692676249144</v>
      </c>
      <c r="F13" s="16" t="s">
        <v>104</v>
      </c>
      <c r="G13" s="14">
        <v>17800</v>
      </c>
      <c r="H13" s="4" t="s">
        <v>105</v>
      </c>
      <c r="I13" s="80" t="s">
        <v>106</v>
      </c>
      <c r="J13" s="4" t="s">
        <v>107</v>
      </c>
      <c r="K13" s="17" t="s">
        <v>108</v>
      </c>
      <c r="L13" s="17" t="s">
        <v>109</v>
      </c>
      <c r="M13" s="17" t="s">
        <v>110</v>
      </c>
      <c r="N13" s="17" t="s">
        <v>111</v>
      </c>
      <c r="O13" s="17" t="s">
        <v>64</v>
      </c>
      <c r="P13" s="17" t="s">
        <v>65</v>
      </c>
      <c r="Q13" s="4" t="s">
        <v>112</v>
      </c>
      <c r="R13" s="4" t="s">
        <v>67</v>
      </c>
      <c r="S13" s="4"/>
      <c r="T13" s="4" t="s">
        <v>68</v>
      </c>
      <c r="U13" s="17"/>
      <c r="V13" s="17"/>
      <c r="W13" s="112" t="s">
        <v>46</v>
      </c>
      <c r="X13" s="112" t="s">
        <v>47</v>
      </c>
      <c r="Y13" s="17" t="s">
        <v>48</v>
      </c>
      <c r="Z13" s="17"/>
      <c r="AA13" s="19">
        <v>46134</v>
      </c>
      <c r="AB13" s="19">
        <f>IF(AA13="","",AA13+365.25*3)</f>
        <v>47229.75</v>
      </c>
      <c r="AC13" s="38"/>
      <c r="AD13" s="50"/>
      <c r="AE13" s="19"/>
      <c r="AF13" s="19"/>
      <c r="AG13" s="340" t="str">
        <f t="shared" ref="AG13:AG16" si="3">IF(AD13="",IF(AE13="","",AF13+365.25*2),AF13+365.25*2)</f>
        <v/>
      </c>
      <c r="AH13" s="108"/>
      <c r="AI13"/>
    </row>
    <row r="14" spans="1:35">
      <c r="A14" s="132"/>
      <c r="B14" s="352" t="s">
        <v>113</v>
      </c>
      <c r="C14" s="108" t="s">
        <v>114</v>
      </c>
      <c r="D14" s="109">
        <v>28292</v>
      </c>
      <c r="E14" s="94">
        <f t="shared" ca="1" si="0"/>
        <v>48.870636550308006</v>
      </c>
      <c r="F14" s="110" t="s">
        <v>115</v>
      </c>
      <c r="G14" s="111">
        <v>70500</v>
      </c>
      <c r="H14" s="108" t="s">
        <v>116</v>
      </c>
      <c r="I14" s="108"/>
      <c r="J14" s="372"/>
      <c r="K14" s="112" t="s">
        <v>117</v>
      </c>
      <c r="L14" s="112" t="s">
        <v>118</v>
      </c>
      <c r="M14" s="112" t="s">
        <v>119</v>
      </c>
      <c r="N14" s="112" t="s">
        <v>120</v>
      </c>
      <c r="O14" s="112" t="s">
        <v>64</v>
      </c>
      <c r="P14" s="112" t="s">
        <v>65</v>
      </c>
      <c r="Q14" s="108" t="s">
        <v>121</v>
      </c>
      <c r="R14" s="108" t="s">
        <v>67</v>
      </c>
      <c r="S14" s="108"/>
      <c r="T14" s="400" t="s">
        <v>68</v>
      </c>
      <c r="U14" s="112"/>
      <c r="V14" s="112"/>
      <c r="W14" s="112" t="s">
        <v>46</v>
      </c>
      <c r="X14" s="112" t="s">
        <v>47</v>
      </c>
      <c r="Y14" s="112"/>
      <c r="Z14" s="112"/>
      <c r="AA14" s="109">
        <v>45953</v>
      </c>
      <c r="AB14" s="19">
        <f>IF(AA14="","",AA14+365.25*3)</f>
        <v>47048.75</v>
      </c>
      <c r="AC14" s="132">
        <v>111200399041</v>
      </c>
      <c r="AD14" s="86"/>
      <c r="AE14" s="109"/>
      <c r="AF14" s="109">
        <v>46414</v>
      </c>
      <c r="AG14" s="340" t="str">
        <f t="shared" si="3"/>
        <v/>
      </c>
      <c r="AH14" s="108"/>
      <c r="AI14"/>
    </row>
    <row r="15" spans="1:35">
      <c r="A15" s="132"/>
      <c r="B15" s="434" t="s">
        <v>122</v>
      </c>
      <c r="C15" s="108" t="s">
        <v>123</v>
      </c>
      <c r="D15" s="109">
        <v>22770</v>
      </c>
      <c r="E15" s="94">
        <f t="shared" ca="1" si="0"/>
        <v>63.989048596851468</v>
      </c>
      <c r="F15" s="424" t="s">
        <v>124</v>
      </c>
      <c r="G15" s="111">
        <v>79120</v>
      </c>
      <c r="H15" s="108" t="s">
        <v>125</v>
      </c>
      <c r="I15" s="380" t="s">
        <v>126</v>
      </c>
      <c r="J15" s="372" t="s">
        <v>127</v>
      </c>
      <c r="K15" s="112" t="s">
        <v>128</v>
      </c>
      <c r="L15" s="112" t="s">
        <v>118</v>
      </c>
      <c r="M15" s="112" t="s">
        <v>129</v>
      </c>
      <c r="N15" s="112" t="s">
        <v>130</v>
      </c>
      <c r="O15" s="112" t="s">
        <v>64</v>
      </c>
      <c r="P15" s="112" t="s">
        <v>65</v>
      </c>
      <c r="Q15" s="108" t="s">
        <v>101</v>
      </c>
      <c r="R15" s="108" t="s">
        <v>67</v>
      </c>
      <c r="S15" s="108"/>
      <c r="T15" s="400" t="s">
        <v>68</v>
      </c>
      <c r="U15" s="112"/>
      <c r="V15" s="112"/>
      <c r="W15" s="112" t="s">
        <v>46</v>
      </c>
      <c r="X15" s="112" t="s">
        <v>47</v>
      </c>
      <c r="Y15" s="112"/>
      <c r="Z15" s="112"/>
      <c r="AA15" s="109">
        <v>46134</v>
      </c>
      <c r="AB15" s="19">
        <f t="shared" ref="AB15:AB19" si="4">IF(AA15="","",AA15+365.25*3)</f>
        <v>47229.75</v>
      </c>
      <c r="AC15" s="132"/>
      <c r="AD15" s="109"/>
      <c r="AE15" s="109"/>
      <c r="AF15" s="109"/>
      <c r="AG15" s="340" t="str">
        <f t="shared" si="3"/>
        <v/>
      </c>
      <c r="AH15" s="108"/>
      <c r="AI15"/>
    </row>
    <row r="16" spans="1:35">
      <c r="A16" s="132"/>
      <c r="B16" s="209" t="s">
        <v>131</v>
      </c>
      <c r="C16" s="108" t="s">
        <v>132</v>
      </c>
      <c r="D16" s="109">
        <v>34405</v>
      </c>
      <c r="E16" s="94">
        <f t="shared" ref="E16:E17" ca="1" si="5">IF(D16="","",($D$2-D16)/365.25)</f>
        <v>32.134154688569474</v>
      </c>
      <c r="F16" s="110" t="s">
        <v>133</v>
      </c>
      <c r="G16" s="111">
        <v>28130</v>
      </c>
      <c r="H16" s="108" t="s">
        <v>134</v>
      </c>
      <c r="I16" s="397" t="s">
        <v>135</v>
      </c>
      <c r="J16" s="372" t="s">
        <v>136</v>
      </c>
      <c r="K16" s="112" t="s">
        <v>137</v>
      </c>
      <c r="L16" s="112" t="s">
        <v>138</v>
      </c>
      <c r="M16" s="112" t="s">
        <v>139</v>
      </c>
      <c r="N16" s="112" t="s">
        <v>140</v>
      </c>
      <c r="O16" s="112" t="s">
        <v>64</v>
      </c>
      <c r="P16" s="112" t="s">
        <v>65</v>
      </c>
      <c r="Q16" s="108" t="s">
        <v>141</v>
      </c>
      <c r="R16" s="108" t="s">
        <v>67</v>
      </c>
      <c r="S16" s="108"/>
      <c r="T16" s="399" t="s">
        <v>68</v>
      </c>
      <c r="U16" s="112"/>
      <c r="V16" s="112"/>
      <c r="W16" s="112" t="s">
        <v>46</v>
      </c>
      <c r="X16" s="112" t="s">
        <v>47</v>
      </c>
      <c r="Y16" s="112"/>
      <c r="Z16" s="112"/>
      <c r="AA16" s="109">
        <v>46114</v>
      </c>
      <c r="AB16" s="19">
        <f t="shared" si="4"/>
        <v>47209.75</v>
      </c>
      <c r="AC16" s="398"/>
      <c r="AD16" s="109"/>
      <c r="AE16" s="109"/>
      <c r="AF16" s="109"/>
      <c r="AG16" s="340" t="str">
        <f t="shared" si="3"/>
        <v/>
      </c>
      <c r="AH16" s="108"/>
      <c r="AI16"/>
    </row>
    <row r="17" spans="1:35">
      <c r="A17" s="132"/>
      <c r="B17" s="434" t="s">
        <v>142</v>
      </c>
      <c r="C17" s="108" t="s">
        <v>143</v>
      </c>
      <c r="D17" s="109">
        <v>34135</v>
      </c>
      <c r="E17" s="94">
        <f t="shared" ca="1" si="5"/>
        <v>32.873374401095141</v>
      </c>
      <c r="F17" s="110" t="s">
        <v>144</v>
      </c>
      <c r="G17" s="111">
        <v>60540</v>
      </c>
      <c r="H17" s="108" t="s">
        <v>145</v>
      </c>
      <c r="I17" s="397" t="s">
        <v>146</v>
      </c>
      <c r="J17" s="372" t="s">
        <v>147</v>
      </c>
      <c r="K17" s="112" t="s">
        <v>148</v>
      </c>
      <c r="L17" s="112" t="s">
        <v>76</v>
      </c>
      <c r="M17" s="112" t="s">
        <v>149</v>
      </c>
      <c r="N17" s="112" t="s">
        <v>78</v>
      </c>
      <c r="O17" s="112" t="s">
        <v>64</v>
      </c>
      <c r="P17" s="112" t="s">
        <v>65</v>
      </c>
      <c r="Q17" s="108" t="s">
        <v>150</v>
      </c>
      <c r="R17" s="108" t="s">
        <v>67</v>
      </c>
      <c r="S17" s="359"/>
      <c r="T17" s="433" t="s">
        <v>68</v>
      </c>
      <c r="U17" s="425"/>
      <c r="V17" s="425"/>
      <c r="W17" s="112" t="s">
        <v>46</v>
      </c>
      <c r="X17" s="112" t="s">
        <v>47</v>
      </c>
      <c r="Y17" s="425"/>
      <c r="Z17" s="425"/>
      <c r="AA17" s="167">
        <v>46134</v>
      </c>
      <c r="AB17" s="19">
        <f t="shared" si="4"/>
        <v>47229.75</v>
      </c>
      <c r="AC17" s="426"/>
      <c r="AD17" s="167"/>
      <c r="AE17" s="167"/>
      <c r="AF17" s="167"/>
      <c r="AG17" s="340" t="str">
        <f t="shared" si="2"/>
        <v/>
      </c>
      <c r="AH17" s="359"/>
      <c r="AI17"/>
    </row>
    <row r="18" spans="1:35">
      <c r="A18" s="132"/>
      <c r="B18" s="209" t="s">
        <v>151</v>
      </c>
      <c r="C18" s="108" t="s">
        <v>152</v>
      </c>
      <c r="D18" s="109">
        <v>29240</v>
      </c>
      <c r="E18" s="94">
        <f ca="1">IF(D18="","",($D$2-D18)/365.25)</f>
        <v>46.275154004106774</v>
      </c>
      <c r="F18" s="349" t="s">
        <v>153</v>
      </c>
      <c r="G18" s="283">
        <v>70360</v>
      </c>
      <c r="H18" s="393" t="s">
        <v>154</v>
      </c>
      <c r="I18" s="395" t="s">
        <v>155</v>
      </c>
      <c r="J18" s="394" t="s">
        <v>156</v>
      </c>
      <c r="K18" s="347" t="s">
        <v>157</v>
      </c>
      <c r="L18" s="347" t="s">
        <v>158</v>
      </c>
      <c r="M18" s="347" t="s">
        <v>159</v>
      </c>
      <c r="N18" s="347" t="s">
        <v>160</v>
      </c>
      <c r="O18" s="112" t="s">
        <v>64</v>
      </c>
      <c r="P18" s="112" t="s">
        <v>65</v>
      </c>
      <c r="Q18" s="108" t="s">
        <v>161</v>
      </c>
      <c r="R18" s="291" t="s">
        <v>67</v>
      </c>
      <c r="S18" s="108"/>
      <c r="T18" s="209" t="s">
        <v>68</v>
      </c>
      <c r="U18" s="112"/>
      <c r="V18" s="112"/>
      <c r="W18" s="112" t="s">
        <v>46</v>
      </c>
      <c r="X18" s="112" t="s">
        <v>47</v>
      </c>
      <c r="Y18" s="112"/>
      <c r="Z18" s="112"/>
      <c r="AA18" s="109"/>
      <c r="AB18" s="19" t="str">
        <f t="shared" si="4"/>
        <v/>
      </c>
      <c r="AC18" s="398"/>
      <c r="AD18" s="109"/>
      <c r="AE18" s="109"/>
      <c r="AF18" s="167"/>
      <c r="AG18" s="340" t="str">
        <f t="shared" si="2"/>
        <v/>
      </c>
      <c r="AH18" s="108"/>
      <c r="AI18"/>
    </row>
    <row r="19" spans="1:35">
      <c r="A19" s="132"/>
      <c r="B19" s="434" t="s">
        <v>162</v>
      </c>
      <c r="C19" s="108" t="s">
        <v>163</v>
      </c>
      <c r="D19" s="109">
        <v>29622</v>
      </c>
      <c r="E19" s="94">
        <f ca="1">IF(D19="","",($D$2-D19)/365.25)</f>
        <v>45.229295003422315</v>
      </c>
      <c r="F19" s="349" t="s">
        <v>164</v>
      </c>
      <c r="G19" s="283">
        <v>75012</v>
      </c>
      <c r="H19" s="393" t="s">
        <v>165</v>
      </c>
      <c r="I19" s="418" t="s">
        <v>166</v>
      </c>
      <c r="J19" s="394" t="s">
        <v>167</v>
      </c>
      <c r="K19" s="347" t="s">
        <v>168</v>
      </c>
      <c r="L19" s="347" t="s">
        <v>169</v>
      </c>
      <c r="M19" s="347" t="s">
        <v>170</v>
      </c>
      <c r="N19" s="347" t="s">
        <v>171</v>
      </c>
      <c r="O19" s="112" t="s">
        <v>64</v>
      </c>
      <c r="P19" s="112" t="s">
        <v>100</v>
      </c>
      <c r="Q19" s="108" t="s">
        <v>101</v>
      </c>
      <c r="R19" s="291" t="s">
        <v>67</v>
      </c>
      <c r="S19" s="108"/>
      <c r="T19" s="108" t="s">
        <v>68</v>
      </c>
      <c r="U19" s="112"/>
      <c r="V19" s="112"/>
      <c r="W19" s="112" t="s">
        <v>46</v>
      </c>
      <c r="X19" s="112" t="s">
        <v>47</v>
      </c>
      <c r="Y19" s="112"/>
      <c r="Z19" s="112"/>
      <c r="AA19" s="109">
        <v>46134</v>
      </c>
      <c r="AB19" s="19">
        <f t="shared" si="4"/>
        <v>47229.75</v>
      </c>
      <c r="AC19" s="398"/>
      <c r="AD19" s="109"/>
      <c r="AE19" s="177"/>
      <c r="AF19" s="109"/>
      <c r="AG19" s="109" t="str">
        <f t="shared" si="2"/>
        <v/>
      </c>
      <c r="AH19" s="294"/>
      <c r="AI19"/>
    </row>
    <row r="20" spans="1:35">
      <c r="A20" s="132"/>
      <c r="B20" s="108"/>
      <c r="C20" s="108"/>
      <c r="D20" s="109"/>
      <c r="E20" s="94" t="str">
        <f t="shared" ref="E20" si="6">IF(D20="","",($D$2-D20)/365.25)</f>
        <v/>
      </c>
      <c r="F20" s="110"/>
      <c r="G20" s="111"/>
      <c r="H20" s="108"/>
      <c r="I20" s="108"/>
      <c r="J20" s="372"/>
      <c r="K20" s="112"/>
      <c r="L20" s="112"/>
      <c r="M20" s="112"/>
      <c r="N20" s="112"/>
      <c r="O20" s="112"/>
      <c r="P20" s="112"/>
      <c r="Q20" s="108"/>
      <c r="R20" s="291"/>
      <c r="S20" s="108"/>
      <c r="T20" s="108"/>
      <c r="U20" s="112"/>
      <c r="V20" s="112"/>
      <c r="W20" s="112"/>
      <c r="X20" s="112"/>
      <c r="Y20" s="112"/>
      <c r="Z20" s="112"/>
      <c r="AA20" s="108"/>
      <c r="AB20" s="108"/>
      <c r="AC20" s="132"/>
      <c r="AD20" s="109"/>
      <c r="AE20" s="177"/>
      <c r="AF20" s="109" t="str">
        <f>IF(AD20="","",AD20+365.25*2)</f>
        <v/>
      </c>
      <c r="AG20" s="109" t="str">
        <f t="shared" si="2"/>
        <v/>
      </c>
      <c r="AH20" s="294"/>
      <c r="AI20"/>
    </row>
    <row r="22" spans="1:35">
      <c r="B22" s="18">
        <f>SUBTOTAL(3,B9:B20)</f>
        <v>11</v>
      </c>
      <c r="O22" s="18">
        <f ca="1">SUBTOTAL(3,O9:O138)</f>
        <v>23</v>
      </c>
      <c r="P22" s="18">
        <f ca="1">SUBTOTAL(3,P9:P138)</f>
        <v>23</v>
      </c>
      <c r="T22" s="18">
        <f>SUBTOTAL(3,T9:T20)</f>
        <v>11</v>
      </c>
      <c r="U22" s="18">
        <f>SUBTOTAL(3,U9:U20)</f>
        <v>0</v>
      </c>
      <c r="AC22">
        <f>SUBTOTAL(3,AC9:AC20)</f>
        <v>1</v>
      </c>
    </row>
    <row r="24" spans="1:35">
      <c r="A24" s="42"/>
      <c r="B24" t="s">
        <v>172</v>
      </c>
      <c r="C24" s="264" t="s">
        <v>173</v>
      </c>
      <c r="D24" s="264" t="s">
        <v>174</v>
      </c>
    </row>
    <row r="25" spans="1:35">
      <c r="A25" s="57"/>
      <c r="B25" t="s">
        <v>175</v>
      </c>
    </row>
    <row r="26" spans="1:35">
      <c r="A26" s="39"/>
      <c r="B26" t="s">
        <v>176</v>
      </c>
    </row>
    <row r="27" spans="1:35">
      <c r="A27" s="41"/>
      <c r="B27" t="s">
        <v>177</v>
      </c>
    </row>
    <row r="28" spans="1:35">
      <c r="A28" s="76"/>
      <c r="B28" t="s">
        <v>178</v>
      </c>
    </row>
    <row r="29" spans="1:35">
      <c r="A29" s="40"/>
      <c r="B29" t="s">
        <v>179</v>
      </c>
    </row>
    <row r="30" spans="1:35">
      <c r="A30" s="52"/>
      <c r="B30" t="s">
        <v>180</v>
      </c>
    </row>
    <row r="32" spans="1:35">
      <c r="A32" s="38"/>
      <c r="B32" s="34" t="s">
        <v>19</v>
      </c>
      <c r="C32" s="4" t="s">
        <v>20</v>
      </c>
      <c r="D32" s="19">
        <v>23105</v>
      </c>
      <c r="E32" s="46"/>
      <c r="F32" s="16"/>
      <c r="G32" s="14"/>
      <c r="H32" s="4"/>
      <c r="I32" s="4"/>
      <c r="J32" s="4"/>
      <c r="K32" s="17"/>
      <c r="L32" s="17"/>
      <c r="M32" s="17"/>
      <c r="N32" s="17"/>
      <c r="O32" s="17"/>
      <c r="P32" s="17"/>
      <c r="Q32" s="4"/>
      <c r="R32" s="4"/>
      <c r="S32" s="4"/>
      <c r="T32" s="4" t="s">
        <v>21</v>
      </c>
      <c r="U32" s="17"/>
      <c r="V32" s="17"/>
      <c r="W32" s="17"/>
      <c r="X32" s="17"/>
      <c r="Y32" s="17"/>
      <c r="Z32" s="17"/>
      <c r="AA32" s="19">
        <v>45266</v>
      </c>
      <c r="AB32" s="4" t="s">
        <v>22</v>
      </c>
      <c r="AC32" s="19">
        <v>45308</v>
      </c>
      <c r="AD32" s="19" t="s">
        <v>23</v>
      </c>
      <c r="AE32" s="19">
        <v>45329</v>
      </c>
      <c r="AF32" s="19"/>
      <c r="AG32" s="19" t="str">
        <f>IF(AF32="","",AF32+365.25*3)</f>
        <v/>
      </c>
    </row>
    <row r="34" spans="1:36">
      <c r="U34" s="445" t="s">
        <v>28</v>
      </c>
      <c r="V34" s="446"/>
      <c r="W34" s="446"/>
      <c r="X34" s="446"/>
      <c r="Y34" s="446"/>
      <c r="Z34" s="447"/>
    </row>
    <row r="35" spans="1:36" s="15" customFormat="1" ht="45">
      <c r="A35" s="37"/>
      <c r="B35" s="20" t="s">
        <v>29</v>
      </c>
      <c r="C35" s="20" t="s">
        <v>30</v>
      </c>
      <c r="D35" s="21" t="s">
        <v>31</v>
      </c>
      <c r="E35" s="44" t="s">
        <v>32</v>
      </c>
      <c r="F35" s="442" t="s">
        <v>33</v>
      </c>
      <c r="G35" s="443"/>
      <c r="H35" s="444"/>
      <c r="I35" s="367"/>
      <c r="J35" s="367"/>
      <c r="K35" s="442" t="s">
        <v>36</v>
      </c>
      <c r="L35" s="444"/>
      <c r="M35" s="442" t="s">
        <v>37</v>
      </c>
      <c r="N35" s="444"/>
      <c r="O35" s="20" t="s">
        <v>38</v>
      </c>
      <c r="P35" s="20" t="s">
        <v>39</v>
      </c>
      <c r="Q35" s="20" t="s">
        <v>40</v>
      </c>
      <c r="R35" s="21" t="s">
        <v>41</v>
      </c>
      <c r="S35" s="21" t="s">
        <v>42</v>
      </c>
      <c r="T35" s="22" t="s">
        <v>43</v>
      </c>
      <c r="U35" s="22" t="s">
        <v>44</v>
      </c>
      <c r="V35" s="22" t="s">
        <v>45</v>
      </c>
      <c r="W35" s="22" t="s">
        <v>46</v>
      </c>
      <c r="X35" s="22" t="s">
        <v>47</v>
      </c>
      <c r="Y35" s="22" t="s">
        <v>48</v>
      </c>
      <c r="Z35" s="22" t="s">
        <v>49</v>
      </c>
      <c r="AA35" s="22" t="s">
        <v>50</v>
      </c>
      <c r="AB35" s="97" t="s">
        <v>51</v>
      </c>
      <c r="AC35" s="83" t="s">
        <v>52</v>
      </c>
      <c r="AD35" s="51" t="s">
        <v>53</v>
      </c>
      <c r="AE35" s="51" t="s">
        <v>54</v>
      </c>
      <c r="AF35" s="51" t="s">
        <v>50</v>
      </c>
      <c r="AG35" s="98" t="s">
        <v>51</v>
      </c>
      <c r="AH35" s="105" t="s">
        <v>55</v>
      </c>
      <c r="AI35" s="137" t="s">
        <v>181</v>
      </c>
    </row>
    <row r="36" spans="1:36">
      <c r="A36" s="56"/>
      <c r="B36" s="33" t="s">
        <v>182</v>
      </c>
      <c r="C36" s="4" t="s">
        <v>183</v>
      </c>
      <c r="D36" s="19">
        <v>33609</v>
      </c>
      <c r="E36" s="46">
        <f ca="1">IF(D36="","",($D$2-D36)/365.25)</f>
        <v>34.313483915126625</v>
      </c>
      <c r="F36" s="16" t="s">
        <v>184</v>
      </c>
      <c r="G36" s="14">
        <v>93300</v>
      </c>
      <c r="H36" s="4" t="s">
        <v>185</v>
      </c>
      <c r="I36" s="4"/>
      <c r="J36" s="4"/>
      <c r="K36" s="17" t="s">
        <v>186</v>
      </c>
      <c r="L36" s="17" t="s">
        <v>187</v>
      </c>
      <c r="M36" s="17" t="s">
        <v>188</v>
      </c>
      <c r="N36" s="17" t="s">
        <v>189</v>
      </c>
      <c r="O36" s="17" t="s">
        <v>64</v>
      </c>
      <c r="P36" s="17" t="s">
        <v>190</v>
      </c>
      <c r="Q36" s="4" t="s">
        <v>191</v>
      </c>
      <c r="R36" s="4" t="s">
        <v>67</v>
      </c>
      <c r="S36" s="4"/>
      <c r="T36" s="4" t="s">
        <v>68</v>
      </c>
      <c r="U36" s="17" t="s">
        <v>44</v>
      </c>
      <c r="V36" s="17" t="s">
        <v>45</v>
      </c>
      <c r="W36" s="17" t="s">
        <v>46</v>
      </c>
      <c r="X36" s="17" t="s">
        <v>47</v>
      </c>
      <c r="Y36" s="17" t="s">
        <v>48</v>
      </c>
      <c r="Z36" s="17" t="s">
        <v>49</v>
      </c>
      <c r="AA36" s="19">
        <v>45335</v>
      </c>
      <c r="AB36" s="19">
        <f>IF(AA36="","",AA36+365.25*3)</f>
        <v>46430.75</v>
      </c>
      <c r="AC36" s="38">
        <v>111100688465</v>
      </c>
      <c r="AD36" s="50"/>
      <c r="AE36" s="19">
        <v>45412</v>
      </c>
      <c r="AF36" s="62">
        <v>46144</v>
      </c>
      <c r="AG36" s="335">
        <f t="shared" ref="AG36:AG39" si="7">MIN(AB36,AF36)</f>
        <v>46144</v>
      </c>
      <c r="AH36" s="382">
        <v>46098</v>
      </c>
      <c r="AI36" s="134">
        <v>63.8</v>
      </c>
    </row>
    <row r="37" spans="1:36">
      <c r="A37" s="148"/>
      <c r="B37" s="352" t="s">
        <v>192</v>
      </c>
      <c r="C37" s="108" t="s">
        <v>193</v>
      </c>
      <c r="D37" s="109">
        <v>34562</v>
      </c>
      <c r="E37" s="94">
        <f ca="1">IF(D37="","",($D$2-D37)/365.25)</f>
        <v>31.704312114989733</v>
      </c>
      <c r="F37" s="349" t="s">
        <v>194</v>
      </c>
      <c r="G37" s="111">
        <v>95490</v>
      </c>
      <c r="H37" s="108" t="s">
        <v>195</v>
      </c>
      <c r="I37" s="108"/>
      <c r="J37" s="372"/>
      <c r="K37" s="347" t="s">
        <v>196</v>
      </c>
      <c r="L37" s="347" t="s">
        <v>197</v>
      </c>
      <c r="M37" s="347" t="s">
        <v>198</v>
      </c>
      <c r="N37" s="347" t="s">
        <v>199</v>
      </c>
      <c r="O37" s="112" t="s">
        <v>64</v>
      </c>
      <c r="P37" s="112" t="s">
        <v>100</v>
      </c>
      <c r="Q37" s="108" t="s">
        <v>200</v>
      </c>
      <c r="R37" s="108" t="s">
        <v>67</v>
      </c>
      <c r="S37" s="108"/>
      <c r="T37" s="108" t="s">
        <v>68</v>
      </c>
      <c r="U37" s="112"/>
      <c r="V37" s="112"/>
      <c r="W37" s="112" t="s">
        <v>46</v>
      </c>
      <c r="X37" s="112" t="s">
        <v>47</v>
      </c>
      <c r="Y37" s="112"/>
      <c r="Z37" s="112"/>
      <c r="AA37" s="351">
        <v>45966</v>
      </c>
      <c r="AB37" s="19">
        <v>47062</v>
      </c>
      <c r="AC37" s="391">
        <v>111200398799</v>
      </c>
      <c r="AD37" s="339"/>
      <c r="AE37" s="167">
        <v>46055</v>
      </c>
      <c r="AF37" s="390">
        <v>46785</v>
      </c>
      <c r="AG37" s="335">
        <f>MIN(AB37,AF37)</f>
        <v>46785</v>
      </c>
      <c r="AH37" s="108"/>
      <c r="AI37">
        <v>67.25</v>
      </c>
    </row>
    <row r="38" spans="1:36">
      <c r="A38" s="148"/>
      <c r="B38" s="179" t="s">
        <v>201</v>
      </c>
      <c r="C38" s="108" t="s">
        <v>138</v>
      </c>
      <c r="D38" s="177">
        <v>25152</v>
      </c>
      <c r="E38" s="94">
        <f ca="1">IF(D38="","",($D$2-D38)/365.25)</f>
        <v>57.46748802190281</v>
      </c>
      <c r="F38" s="178" t="s">
        <v>202</v>
      </c>
      <c r="G38" s="111">
        <v>64121</v>
      </c>
      <c r="H38" s="108" t="s">
        <v>203</v>
      </c>
      <c r="I38" s="108"/>
      <c r="J38" s="108"/>
      <c r="K38" s="112" t="s">
        <v>204</v>
      </c>
      <c r="L38" s="112" t="s">
        <v>205</v>
      </c>
      <c r="M38" s="112" t="s">
        <v>206</v>
      </c>
      <c r="N38" s="112" t="s">
        <v>207</v>
      </c>
      <c r="O38" s="112" t="s">
        <v>64</v>
      </c>
      <c r="P38" s="112" t="s">
        <v>65</v>
      </c>
      <c r="Q38" s="108" t="s">
        <v>208</v>
      </c>
      <c r="R38" s="108" t="s">
        <v>67</v>
      </c>
      <c r="S38" s="108"/>
      <c r="T38" s="108" t="s">
        <v>68</v>
      </c>
      <c r="U38" s="112"/>
      <c r="V38" s="112"/>
      <c r="W38" s="25" t="s">
        <v>46</v>
      </c>
      <c r="X38" s="25" t="s">
        <v>47</v>
      </c>
      <c r="Y38" s="112"/>
      <c r="Z38" s="112"/>
      <c r="AA38" s="177">
        <v>45533</v>
      </c>
      <c r="AB38" s="109">
        <f>IF(AA38="","",AA38+365.25*3)</f>
        <v>46628.75</v>
      </c>
      <c r="AC38" s="180">
        <v>111200396220</v>
      </c>
      <c r="AD38" s="109">
        <v>45573</v>
      </c>
      <c r="AE38" s="202"/>
      <c r="AF38" s="146">
        <v>46303</v>
      </c>
      <c r="AG38" s="335">
        <f t="shared" si="7"/>
        <v>46303</v>
      </c>
      <c r="AH38" s="108"/>
      <c r="AI38" s="134">
        <v>64.75</v>
      </c>
    </row>
    <row r="39" spans="1:36">
      <c r="A39" s="148"/>
      <c r="B39" s="131" t="s">
        <v>209</v>
      </c>
      <c r="C39" s="108" t="s">
        <v>210</v>
      </c>
      <c r="D39" s="109">
        <v>27554</v>
      </c>
      <c r="E39" s="94">
        <f ca="1">IF(D39="","",($D$2-D39)/365.25)</f>
        <v>50.891170431211499</v>
      </c>
      <c r="F39" s="110" t="s">
        <v>211</v>
      </c>
      <c r="G39" s="111">
        <v>91120</v>
      </c>
      <c r="H39" s="108" t="s">
        <v>212</v>
      </c>
      <c r="I39" s="108"/>
      <c r="J39" s="108"/>
      <c r="K39" s="112" t="s">
        <v>213</v>
      </c>
      <c r="L39" s="112" t="s">
        <v>123</v>
      </c>
      <c r="M39" s="112" t="s">
        <v>214</v>
      </c>
      <c r="N39" s="112" t="s">
        <v>215</v>
      </c>
      <c r="O39" s="112" t="s">
        <v>64</v>
      </c>
      <c r="P39" s="112" t="s">
        <v>65</v>
      </c>
      <c r="Q39" s="108" t="s">
        <v>216</v>
      </c>
      <c r="R39" s="108" t="s">
        <v>67</v>
      </c>
      <c r="S39" s="108"/>
      <c r="T39" s="108" t="s">
        <v>68</v>
      </c>
      <c r="U39" s="112"/>
      <c r="V39" s="112"/>
      <c r="W39" s="112" t="s">
        <v>46</v>
      </c>
      <c r="X39" s="112" t="s">
        <v>47</v>
      </c>
      <c r="Y39" s="112"/>
      <c r="Z39" s="112"/>
      <c r="AA39" s="109">
        <v>45431</v>
      </c>
      <c r="AB39" s="109">
        <v>46526</v>
      </c>
      <c r="AC39" s="132">
        <v>111200395764</v>
      </c>
      <c r="AD39" s="109">
        <v>45482</v>
      </c>
      <c r="AE39" s="86"/>
      <c r="AF39" s="146">
        <v>46212</v>
      </c>
      <c r="AG39" s="335">
        <f t="shared" si="7"/>
        <v>46212</v>
      </c>
      <c r="AH39" s="108"/>
      <c r="AI39" s="134">
        <v>64.75</v>
      </c>
    </row>
    <row r="40" spans="1:36">
      <c r="A40" s="274"/>
      <c r="B40" s="275" t="s">
        <v>19</v>
      </c>
      <c r="C40" s="173" t="s">
        <v>20</v>
      </c>
      <c r="D40" s="170">
        <v>23105</v>
      </c>
      <c r="E40" s="171">
        <f t="shared" ref="E40:E108" ca="1" si="8">IF(D40="","",($D$2-D40)/365.25)</f>
        <v>63.071868583162221</v>
      </c>
      <c r="F40" s="153" t="s">
        <v>217</v>
      </c>
      <c r="G40" s="172">
        <v>1660</v>
      </c>
      <c r="H40" s="173" t="s">
        <v>218</v>
      </c>
      <c r="I40" s="173"/>
      <c r="J40" s="173"/>
      <c r="K40" s="174" t="s">
        <v>219</v>
      </c>
      <c r="L40" s="174" t="s">
        <v>158</v>
      </c>
      <c r="M40" s="174" t="s">
        <v>220</v>
      </c>
      <c r="N40" s="174" t="s">
        <v>215</v>
      </c>
      <c r="O40" s="174" t="s">
        <v>64</v>
      </c>
      <c r="P40" s="174" t="s">
        <v>65</v>
      </c>
      <c r="Q40" s="173" t="s">
        <v>221</v>
      </c>
      <c r="R40" s="173" t="s">
        <v>67</v>
      </c>
      <c r="S40" s="173"/>
      <c r="T40" s="173" t="s">
        <v>68</v>
      </c>
      <c r="U40" s="174" t="s">
        <v>44</v>
      </c>
      <c r="V40" s="174" t="s">
        <v>45</v>
      </c>
      <c r="W40" s="174" t="s">
        <v>46</v>
      </c>
      <c r="X40" s="174" t="s">
        <v>47</v>
      </c>
      <c r="Y40" s="174" t="s">
        <v>48</v>
      </c>
      <c r="Z40" s="174" t="s">
        <v>49</v>
      </c>
      <c r="AA40" s="170">
        <v>45267</v>
      </c>
      <c r="AB40" s="170">
        <f t="shared" ref="AB40:AB82" si="9">IF(AA40="","",AA40+365.25*3)</f>
        <v>46362.75</v>
      </c>
      <c r="AC40" s="200">
        <v>111100678567</v>
      </c>
      <c r="AD40" s="170">
        <v>46030</v>
      </c>
      <c r="AE40" s="160"/>
      <c r="AF40" s="201">
        <v>46764</v>
      </c>
      <c r="AG40" s="335">
        <f>MIN(AB40,AF40)</f>
        <v>46362.75</v>
      </c>
      <c r="AH40" s="109"/>
      <c r="AI40" s="134">
        <v>63.8</v>
      </c>
      <c r="AJ40" s="133">
        <v>45261</v>
      </c>
    </row>
    <row r="41" spans="1:36">
      <c r="A41" s="271"/>
      <c r="B41" s="179" t="s">
        <v>222</v>
      </c>
      <c r="C41" s="108" t="s">
        <v>223</v>
      </c>
      <c r="D41" s="109">
        <v>25148</v>
      </c>
      <c r="E41" s="94">
        <f ca="1">IF(D41="","",($D$2-D41)/365.25)</f>
        <v>57.478439425051334</v>
      </c>
      <c r="F41" s="110" t="s">
        <v>224</v>
      </c>
      <c r="G41" s="111">
        <v>75012</v>
      </c>
      <c r="H41" s="108" t="s">
        <v>165</v>
      </c>
      <c r="I41" s="108"/>
      <c r="J41" s="108"/>
      <c r="K41" s="112" t="s">
        <v>225</v>
      </c>
      <c r="L41" s="112" t="s">
        <v>226</v>
      </c>
      <c r="M41" s="112" t="s">
        <v>227</v>
      </c>
      <c r="N41" s="112" t="s">
        <v>228</v>
      </c>
      <c r="O41" s="112" t="s">
        <v>64</v>
      </c>
      <c r="P41" s="112" t="s">
        <v>65</v>
      </c>
      <c r="Q41" s="108" t="s">
        <v>229</v>
      </c>
      <c r="R41" s="108" t="s">
        <v>67</v>
      </c>
      <c r="S41" s="108"/>
      <c r="T41" s="108" t="s">
        <v>68</v>
      </c>
      <c r="U41" s="112"/>
      <c r="V41" s="112"/>
      <c r="W41" s="112" t="s">
        <v>46</v>
      </c>
      <c r="X41" s="112" t="s">
        <v>47</v>
      </c>
      <c r="Y41" s="112"/>
      <c r="Z41" s="112"/>
      <c r="AA41" s="109">
        <v>45398</v>
      </c>
      <c r="AB41" s="109">
        <f t="shared" ref="AB41:AB46" si="10">IF(AA41="","",AA41+365.25*3)</f>
        <v>46493.75</v>
      </c>
      <c r="AC41" s="132">
        <v>111200395853</v>
      </c>
      <c r="AD41" s="86"/>
      <c r="AE41" s="272"/>
      <c r="AF41" s="109"/>
      <c r="AG41" s="335">
        <f t="shared" ref="AG41:AG106" si="11">MIN(AB41,AF41)</f>
        <v>46493.75</v>
      </c>
      <c r="AH41" s="108"/>
      <c r="AI41" s="134">
        <v>64.75</v>
      </c>
    </row>
    <row r="42" spans="1:36" ht="14.25" customHeight="1">
      <c r="A42" s="148"/>
      <c r="B42" s="179" t="s">
        <v>230</v>
      </c>
      <c r="C42" s="108" t="s">
        <v>231</v>
      </c>
      <c r="D42" s="109">
        <v>38617</v>
      </c>
      <c r="E42" s="94">
        <f t="shared" ref="E42:E45" ca="1" si="12">IF(D42="","",($D$2-D42)/365.25)</f>
        <v>20.602327173169062</v>
      </c>
      <c r="F42" s="110" t="s">
        <v>232</v>
      </c>
      <c r="G42" s="111">
        <v>95190</v>
      </c>
      <c r="H42" s="108" t="s">
        <v>233</v>
      </c>
      <c r="I42" s="108"/>
      <c r="J42" s="108"/>
      <c r="K42" s="112" t="s">
        <v>234</v>
      </c>
      <c r="L42" s="112" t="s">
        <v>235</v>
      </c>
      <c r="M42" s="112" t="s">
        <v>236</v>
      </c>
      <c r="N42" s="112" t="s">
        <v>237</v>
      </c>
      <c r="O42" s="112" t="s">
        <v>64</v>
      </c>
      <c r="P42" s="112" t="s">
        <v>65</v>
      </c>
      <c r="Q42" s="108" t="s">
        <v>238</v>
      </c>
      <c r="R42" s="108" t="s">
        <v>67</v>
      </c>
      <c r="S42" s="108"/>
      <c r="T42" s="108" t="s">
        <v>68</v>
      </c>
      <c r="U42" s="112"/>
      <c r="V42" s="112"/>
      <c r="W42" s="112" t="s">
        <v>46</v>
      </c>
      <c r="X42" s="112" t="s">
        <v>47</v>
      </c>
      <c r="Y42" s="112"/>
      <c r="Z42" s="112"/>
      <c r="AA42" s="109">
        <v>45718</v>
      </c>
      <c r="AB42" s="109">
        <f t="shared" si="10"/>
        <v>46813.75</v>
      </c>
      <c r="AC42" s="132">
        <v>111200397174</v>
      </c>
      <c r="AD42" s="109">
        <v>45853</v>
      </c>
      <c r="AE42" s="273">
        <v>45722</v>
      </c>
      <c r="AF42" s="146">
        <v>46583</v>
      </c>
      <c r="AG42" s="335">
        <f t="shared" si="11"/>
        <v>46583</v>
      </c>
      <c r="AH42" s="108"/>
      <c r="AI42" s="134">
        <v>64.75</v>
      </c>
    </row>
    <row r="43" spans="1:36">
      <c r="A43" s="208"/>
      <c r="B43" s="32" t="s">
        <v>239</v>
      </c>
      <c r="C43" s="9" t="s">
        <v>240</v>
      </c>
      <c r="D43" s="30">
        <v>28707</v>
      </c>
      <c r="E43" s="87">
        <f t="shared" ca="1" si="12"/>
        <v>47.734428473648187</v>
      </c>
      <c r="F43" s="88" t="s">
        <v>241</v>
      </c>
      <c r="G43" s="89">
        <v>76600</v>
      </c>
      <c r="H43" s="9" t="s">
        <v>242</v>
      </c>
      <c r="I43" s="9"/>
      <c r="J43" s="9"/>
      <c r="K43" s="25" t="s">
        <v>243</v>
      </c>
      <c r="L43" s="25" t="s">
        <v>244</v>
      </c>
      <c r="M43" s="25" t="s">
        <v>245</v>
      </c>
      <c r="N43" s="25" t="s">
        <v>78</v>
      </c>
      <c r="O43" s="25" t="s">
        <v>64</v>
      </c>
      <c r="P43" s="25" t="s">
        <v>65</v>
      </c>
      <c r="Q43" s="9" t="s">
        <v>246</v>
      </c>
      <c r="R43" s="9" t="s">
        <v>67</v>
      </c>
      <c r="S43" s="9"/>
      <c r="T43" s="9" t="s">
        <v>68</v>
      </c>
      <c r="U43" s="25"/>
      <c r="V43" s="25"/>
      <c r="W43" s="25" t="s">
        <v>46</v>
      </c>
      <c r="X43" s="25" t="s">
        <v>47</v>
      </c>
      <c r="Y43" s="25"/>
      <c r="Z43" s="25"/>
      <c r="AA43" s="30">
        <v>45378</v>
      </c>
      <c r="AB43" s="30">
        <f t="shared" si="10"/>
        <v>46473.75</v>
      </c>
      <c r="AC43" s="123">
        <v>111200395711</v>
      </c>
      <c r="AD43" s="30">
        <v>45454</v>
      </c>
      <c r="AE43" s="202"/>
      <c r="AF43" s="203">
        <v>46184</v>
      </c>
      <c r="AG43" s="335">
        <f t="shared" si="11"/>
        <v>46184</v>
      </c>
      <c r="AH43" s="108"/>
      <c r="AI43" s="134">
        <v>63.8</v>
      </c>
    </row>
    <row r="44" spans="1:36">
      <c r="A44" s="208"/>
      <c r="B44" s="32" t="s">
        <v>247</v>
      </c>
      <c r="C44" s="9" t="s">
        <v>248</v>
      </c>
      <c r="D44" s="30">
        <v>30479</v>
      </c>
      <c r="E44" s="87">
        <f t="shared" ca="1" si="12"/>
        <v>42.882956878850102</v>
      </c>
      <c r="F44" s="88" t="s">
        <v>249</v>
      </c>
      <c r="G44" s="89">
        <v>77500</v>
      </c>
      <c r="H44" s="9" t="s">
        <v>250</v>
      </c>
      <c r="I44" s="9"/>
      <c r="J44" s="9"/>
      <c r="K44" s="25" t="s">
        <v>251</v>
      </c>
      <c r="L44" s="25" t="s">
        <v>252</v>
      </c>
      <c r="M44" s="25" t="s">
        <v>253</v>
      </c>
      <c r="N44" s="25" t="s">
        <v>254</v>
      </c>
      <c r="O44" s="25" t="s">
        <v>64</v>
      </c>
      <c r="P44" s="25" t="s">
        <v>190</v>
      </c>
      <c r="Q44" s="9" t="s">
        <v>255</v>
      </c>
      <c r="R44" s="9" t="s">
        <v>67</v>
      </c>
      <c r="S44" s="9"/>
      <c r="T44" s="9" t="s">
        <v>68</v>
      </c>
      <c r="U44" s="25"/>
      <c r="V44" s="25"/>
      <c r="W44" s="25" t="s">
        <v>46</v>
      </c>
      <c r="X44" s="25" t="s">
        <v>47</v>
      </c>
      <c r="Y44" s="25"/>
      <c r="Z44" s="25"/>
      <c r="AA44" s="30">
        <v>45566</v>
      </c>
      <c r="AB44" s="109">
        <f t="shared" si="10"/>
        <v>46661.75</v>
      </c>
      <c r="AC44" s="123">
        <v>111200396428</v>
      </c>
      <c r="AD44" s="30">
        <v>45587</v>
      </c>
      <c r="AE44" s="202"/>
      <c r="AF44" s="203">
        <v>46317</v>
      </c>
      <c r="AG44" s="335">
        <f t="shared" si="11"/>
        <v>46317</v>
      </c>
      <c r="AH44" s="108"/>
      <c r="AI44">
        <v>64.75</v>
      </c>
    </row>
    <row r="45" spans="1:36" ht="15" customHeight="1">
      <c r="A45" s="208"/>
      <c r="B45" s="32" t="s">
        <v>256</v>
      </c>
      <c r="C45" s="9" t="s">
        <v>257</v>
      </c>
      <c r="D45" s="30">
        <v>31233</v>
      </c>
      <c r="E45" s="87">
        <f t="shared" ca="1" si="12"/>
        <v>40.818617385352496</v>
      </c>
      <c r="F45" s="88" t="s">
        <v>258</v>
      </c>
      <c r="G45" s="89">
        <v>91720</v>
      </c>
      <c r="H45" s="9" t="s">
        <v>259</v>
      </c>
      <c r="I45" s="9"/>
      <c r="J45" s="9"/>
      <c r="K45" s="25" t="s">
        <v>260</v>
      </c>
      <c r="L45" s="25" t="s">
        <v>261</v>
      </c>
      <c r="M45" s="25" t="s">
        <v>262</v>
      </c>
      <c r="N45" s="25" t="s">
        <v>263</v>
      </c>
      <c r="O45" s="25" t="s">
        <v>64</v>
      </c>
      <c r="P45" s="25" t="s">
        <v>65</v>
      </c>
      <c r="Q45" s="9" t="s">
        <v>264</v>
      </c>
      <c r="R45" s="9" t="s">
        <v>67</v>
      </c>
      <c r="S45" s="9"/>
      <c r="T45" s="9" t="s">
        <v>68</v>
      </c>
      <c r="U45" s="25"/>
      <c r="V45" s="25"/>
      <c r="W45" s="25" t="s">
        <v>46</v>
      </c>
      <c r="X45" s="25" t="s">
        <v>47</v>
      </c>
      <c r="Y45" s="25"/>
      <c r="Z45" s="25"/>
      <c r="AA45" s="30">
        <v>45723</v>
      </c>
      <c r="AB45" s="109">
        <f t="shared" si="10"/>
        <v>46818.75</v>
      </c>
      <c r="AC45" s="123">
        <v>111200397203</v>
      </c>
      <c r="AD45" s="30">
        <v>45757</v>
      </c>
      <c r="AE45" s="250"/>
      <c r="AF45" s="203">
        <v>46487</v>
      </c>
      <c r="AG45" s="335">
        <f t="shared" si="11"/>
        <v>46487</v>
      </c>
      <c r="AH45" s="108"/>
      <c r="AI45">
        <v>64.75</v>
      </c>
    </row>
    <row r="46" spans="1:36">
      <c r="A46" s="328"/>
      <c r="B46" s="179" t="s">
        <v>265</v>
      </c>
      <c r="C46" s="108" t="s">
        <v>266</v>
      </c>
      <c r="D46" s="109">
        <v>32239</v>
      </c>
      <c r="E46" s="94">
        <f ca="1">IF(D46="","",($D$2-D46)/365.25)</f>
        <v>38.064339493497606</v>
      </c>
      <c r="F46" s="110" t="s">
        <v>267</v>
      </c>
      <c r="G46" s="111">
        <v>19200</v>
      </c>
      <c r="H46" s="108" t="s">
        <v>268</v>
      </c>
      <c r="I46" s="108"/>
      <c r="J46" s="108"/>
      <c r="K46" s="112" t="s">
        <v>269</v>
      </c>
      <c r="L46" s="112" t="s">
        <v>270</v>
      </c>
      <c r="M46" s="112" t="s">
        <v>271</v>
      </c>
      <c r="N46" s="112" t="s">
        <v>272</v>
      </c>
      <c r="O46" s="112" t="s">
        <v>64</v>
      </c>
      <c r="P46" s="112" t="s">
        <v>273</v>
      </c>
      <c r="Q46" s="108" t="s">
        <v>274</v>
      </c>
      <c r="R46" s="108" t="s">
        <v>67</v>
      </c>
      <c r="S46" s="108"/>
      <c r="T46" s="108" t="s">
        <v>68</v>
      </c>
      <c r="U46" s="112"/>
      <c r="V46" s="112"/>
      <c r="W46" s="112" t="s">
        <v>46</v>
      </c>
      <c r="X46" s="112" t="s">
        <v>47</v>
      </c>
      <c r="Y46" s="112"/>
      <c r="Z46" s="112"/>
      <c r="AA46" s="109">
        <v>45885</v>
      </c>
      <c r="AB46" s="109">
        <f t="shared" si="10"/>
        <v>46980.75</v>
      </c>
      <c r="AC46" s="132">
        <v>111200398433</v>
      </c>
      <c r="AD46" s="19">
        <v>45918</v>
      </c>
      <c r="AE46" s="323"/>
      <c r="AF46" s="146">
        <v>46648</v>
      </c>
      <c r="AG46" s="335">
        <f t="shared" si="11"/>
        <v>46648</v>
      </c>
      <c r="AH46" s="108"/>
      <c r="AI46">
        <v>67.25</v>
      </c>
    </row>
    <row r="47" spans="1:36">
      <c r="A47" s="208"/>
      <c r="B47" s="32" t="s">
        <v>275</v>
      </c>
      <c r="C47" s="9" t="s">
        <v>276</v>
      </c>
      <c r="D47" s="30">
        <v>37703</v>
      </c>
      <c r="E47" s="255">
        <f ca="1">IF(D47="","",($D$2-D47)/365.25)</f>
        <v>23.104722792607802</v>
      </c>
      <c r="F47" s="88" t="s">
        <v>277</v>
      </c>
      <c r="G47" s="89">
        <v>78180</v>
      </c>
      <c r="H47" s="9" t="s">
        <v>278</v>
      </c>
      <c r="I47" s="9"/>
      <c r="J47" s="373"/>
      <c r="K47" s="25" t="s">
        <v>279</v>
      </c>
      <c r="L47" s="25" t="s">
        <v>280</v>
      </c>
      <c r="M47" s="25" t="s">
        <v>281</v>
      </c>
      <c r="N47" s="25" t="s">
        <v>282</v>
      </c>
      <c r="O47" s="25" t="s">
        <v>64</v>
      </c>
      <c r="P47" s="25" t="s">
        <v>65</v>
      </c>
      <c r="Q47" s="9" t="s">
        <v>283</v>
      </c>
      <c r="R47" s="9" t="s">
        <v>284</v>
      </c>
      <c r="S47" s="365">
        <v>46199</v>
      </c>
      <c r="T47" s="9" t="s">
        <v>68</v>
      </c>
      <c r="U47" s="25"/>
      <c r="V47" s="25"/>
      <c r="W47" s="25" t="s">
        <v>46</v>
      </c>
      <c r="X47" s="25" t="s">
        <v>47</v>
      </c>
      <c r="Y47" s="25"/>
      <c r="Z47" s="25"/>
      <c r="AA47" s="336">
        <v>45999</v>
      </c>
      <c r="AB47" s="19">
        <v>46199</v>
      </c>
      <c r="AC47" s="123">
        <v>111200398884</v>
      </c>
      <c r="AD47" s="202"/>
      <c r="AE47" s="263">
        <v>46057</v>
      </c>
      <c r="AF47" s="203">
        <v>46787</v>
      </c>
      <c r="AG47" s="335">
        <f t="shared" si="11"/>
        <v>46199</v>
      </c>
      <c r="AH47" s="108"/>
      <c r="AI47">
        <v>67.25</v>
      </c>
    </row>
    <row r="48" spans="1:36">
      <c r="A48" s="56"/>
      <c r="B48" s="33" t="s">
        <v>285</v>
      </c>
      <c r="C48" s="4" t="s">
        <v>286</v>
      </c>
      <c r="D48" s="19">
        <v>28689</v>
      </c>
      <c r="E48" s="46">
        <f t="shared" ca="1" si="8"/>
        <v>47.783709787816562</v>
      </c>
      <c r="F48" s="16" t="s">
        <v>287</v>
      </c>
      <c r="G48" s="14">
        <v>75116</v>
      </c>
      <c r="H48" s="4" t="s">
        <v>165</v>
      </c>
      <c r="I48" s="4"/>
      <c r="J48" s="4"/>
      <c r="K48" s="17" t="s">
        <v>288</v>
      </c>
      <c r="L48" s="17" t="s">
        <v>289</v>
      </c>
      <c r="M48" s="17" t="s">
        <v>290</v>
      </c>
      <c r="N48" s="17" t="s">
        <v>291</v>
      </c>
      <c r="O48" s="17" t="s">
        <v>64</v>
      </c>
      <c r="P48" s="17" t="s">
        <v>65</v>
      </c>
      <c r="Q48" s="4" t="s">
        <v>292</v>
      </c>
      <c r="R48" s="4" t="s">
        <v>67</v>
      </c>
      <c r="S48" s="4"/>
      <c r="T48" s="4" t="s">
        <v>68</v>
      </c>
      <c r="U48" s="17" t="s">
        <v>44</v>
      </c>
      <c r="V48" s="17" t="s">
        <v>45</v>
      </c>
      <c r="W48" s="17" t="s">
        <v>46</v>
      </c>
      <c r="X48" s="17" t="s">
        <v>47</v>
      </c>
      <c r="Y48" s="17" t="s">
        <v>48</v>
      </c>
      <c r="Z48" s="17" t="s">
        <v>49</v>
      </c>
      <c r="AA48" s="19">
        <v>45311</v>
      </c>
      <c r="AB48" s="19">
        <f t="shared" si="9"/>
        <v>46406.75</v>
      </c>
      <c r="AC48" s="38">
        <v>111100685339</v>
      </c>
      <c r="AD48" s="19">
        <v>45379</v>
      </c>
      <c r="AE48" s="50"/>
      <c r="AF48" s="62">
        <v>46840</v>
      </c>
      <c r="AG48" s="335">
        <f t="shared" si="11"/>
        <v>46406.75</v>
      </c>
      <c r="AH48" s="109"/>
      <c r="AI48" s="134">
        <v>63.8</v>
      </c>
    </row>
    <row r="49" spans="1:36">
      <c r="A49" s="56"/>
      <c r="B49" s="33" t="s">
        <v>293</v>
      </c>
      <c r="C49" s="4" t="s">
        <v>294</v>
      </c>
      <c r="D49" s="19">
        <v>25862</v>
      </c>
      <c r="E49" s="46">
        <f ca="1">IF(D49="","",($D$2-D49)/365.25)</f>
        <v>55.523613963039011</v>
      </c>
      <c r="F49" s="16" t="s">
        <v>295</v>
      </c>
      <c r="G49" s="14">
        <v>1540</v>
      </c>
      <c r="H49" s="4" t="s">
        <v>296</v>
      </c>
      <c r="I49" s="4"/>
      <c r="J49" s="4"/>
      <c r="K49" s="17" t="s">
        <v>297</v>
      </c>
      <c r="L49" s="17" t="s">
        <v>298</v>
      </c>
      <c r="M49" s="17" t="s">
        <v>299</v>
      </c>
      <c r="N49" s="17" t="s">
        <v>300</v>
      </c>
      <c r="O49" s="17" t="s">
        <v>64</v>
      </c>
      <c r="P49" s="17" t="s">
        <v>190</v>
      </c>
      <c r="Q49" s="4" t="s">
        <v>301</v>
      </c>
      <c r="R49" s="4" t="s">
        <v>67</v>
      </c>
      <c r="S49" s="4"/>
      <c r="T49" s="4" t="s">
        <v>68</v>
      </c>
      <c r="U49" s="17" t="s">
        <v>44</v>
      </c>
      <c r="V49" s="17" t="s">
        <v>45</v>
      </c>
      <c r="W49" s="17" t="s">
        <v>46</v>
      </c>
      <c r="X49" s="17" t="s">
        <v>47</v>
      </c>
      <c r="Y49" s="17" t="s">
        <v>48</v>
      </c>
      <c r="Z49" s="17" t="s">
        <v>49</v>
      </c>
      <c r="AA49" s="19">
        <v>45269</v>
      </c>
      <c r="AB49" s="19">
        <f t="shared" ref="AB49:AB55" si="13">IF(AA49="","",AA49+365.25*3)</f>
        <v>46364.75</v>
      </c>
      <c r="AC49" s="38">
        <v>111100679653</v>
      </c>
      <c r="AD49" s="50"/>
      <c r="AE49" s="164">
        <v>45473</v>
      </c>
      <c r="AF49" s="62">
        <v>46203</v>
      </c>
      <c r="AG49" s="335">
        <f t="shared" si="11"/>
        <v>46203</v>
      </c>
      <c r="AH49" s="108"/>
      <c r="AI49" s="134">
        <v>63.8</v>
      </c>
    </row>
    <row r="50" spans="1:36">
      <c r="A50" s="56"/>
      <c r="B50" s="33" t="s">
        <v>302</v>
      </c>
      <c r="C50" s="4" t="s">
        <v>303</v>
      </c>
      <c r="D50" s="19">
        <v>26851</v>
      </c>
      <c r="E50" s="46">
        <f ca="1">IF(D50="","",($D$2-D50)/365.25)</f>
        <v>52.815879534565369</v>
      </c>
      <c r="F50" s="16" t="s">
        <v>304</v>
      </c>
      <c r="G50" s="14">
        <v>26800</v>
      </c>
      <c r="H50" s="4" t="s">
        <v>305</v>
      </c>
      <c r="I50" s="4"/>
      <c r="J50" s="4"/>
      <c r="K50" s="17" t="s">
        <v>306</v>
      </c>
      <c r="L50" s="17" t="s">
        <v>240</v>
      </c>
      <c r="M50" s="17" t="s">
        <v>307</v>
      </c>
      <c r="N50" s="17" t="s">
        <v>308</v>
      </c>
      <c r="O50" s="17" t="s">
        <v>64</v>
      </c>
      <c r="P50" s="17" t="s">
        <v>100</v>
      </c>
      <c r="Q50" s="4" t="s">
        <v>309</v>
      </c>
      <c r="R50" s="4" t="s">
        <v>67</v>
      </c>
      <c r="S50" s="4"/>
      <c r="T50" s="4" t="s">
        <v>68</v>
      </c>
      <c r="U50" s="17"/>
      <c r="V50" s="17"/>
      <c r="W50" s="17" t="s">
        <v>46</v>
      </c>
      <c r="X50" s="17" t="s">
        <v>47</v>
      </c>
      <c r="Y50" s="17"/>
      <c r="Z50" s="17"/>
      <c r="AA50" s="19">
        <v>45722</v>
      </c>
      <c r="AB50" s="109">
        <f t="shared" si="13"/>
        <v>46817.75</v>
      </c>
      <c r="AC50" s="38">
        <v>111200397243</v>
      </c>
      <c r="AD50" s="50"/>
      <c r="AE50" s="164">
        <v>45722</v>
      </c>
      <c r="AF50" s="62">
        <v>46493</v>
      </c>
      <c r="AG50" s="335">
        <f t="shared" si="11"/>
        <v>46493</v>
      </c>
      <c r="AH50" s="108"/>
      <c r="AI50">
        <v>64.75</v>
      </c>
    </row>
    <row r="51" spans="1:36">
      <c r="A51" s="56"/>
      <c r="B51" s="33" t="s">
        <v>310</v>
      </c>
      <c r="C51" s="4" t="s">
        <v>76</v>
      </c>
      <c r="D51" s="19">
        <v>34788</v>
      </c>
      <c r="E51" s="46">
        <f t="shared" ref="E51" ca="1" si="14">IF(D51="","",($D$2-D51)/365.25)</f>
        <v>31.085557837097877</v>
      </c>
      <c r="F51" s="16" t="s">
        <v>311</v>
      </c>
      <c r="G51" s="14">
        <v>94550</v>
      </c>
      <c r="H51" s="4" t="s">
        <v>312</v>
      </c>
      <c r="I51" s="4"/>
      <c r="J51" s="4"/>
      <c r="K51" s="17" t="s">
        <v>313</v>
      </c>
      <c r="L51" s="17" t="s">
        <v>314</v>
      </c>
      <c r="M51" s="17" t="s">
        <v>315</v>
      </c>
      <c r="N51" s="17" t="s">
        <v>316</v>
      </c>
      <c r="O51" s="17" t="s">
        <v>64</v>
      </c>
      <c r="P51" s="17" t="s">
        <v>190</v>
      </c>
      <c r="Q51" s="4" t="s">
        <v>317</v>
      </c>
      <c r="R51" s="4" t="s">
        <v>67</v>
      </c>
      <c r="S51" s="4"/>
      <c r="T51" s="4" t="s">
        <v>68</v>
      </c>
      <c r="U51" s="17"/>
      <c r="V51" s="17"/>
      <c r="W51" s="17" t="s">
        <v>46</v>
      </c>
      <c r="X51" s="17" t="s">
        <v>47</v>
      </c>
      <c r="Y51" s="17"/>
      <c r="Z51" s="17"/>
      <c r="AA51" s="19">
        <v>45357</v>
      </c>
      <c r="AB51" s="19">
        <f t="shared" si="13"/>
        <v>46452.75</v>
      </c>
      <c r="AC51" s="38">
        <v>111200395487</v>
      </c>
      <c r="AD51" s="19">
        <v>45541</v>
      </c>
      <c r="AE51" s="50"/>
      <c r="AF51" s="62">
        <v>46271</v>
      </c>
      <c r="AG51" s="335">
        <f t="shared" si="11"/>
        <v>46271</v>
      </c>
      <c r="AH51" s="108"/>
      <c r="AI51" s="134">
        <v>63.8</v>
      </c>
    </row>
    <row r="52" spans="1:36">
      <c r="A52" s="56"/>
      <c r="B52" s="386" t="s">
        <v>318</v>
      </c>
      <c r="C52" s="225" t="s">
        <v>319</v>
      </c>
      <c r="D52" s="227">
        <v>25171</v>
      </c>
      <c r="E52" s="387">
        <f t="shared" ref="E52:E56" ca="1" si="15">IF(D52="","",($D$2-D52)/365.25)</f>
        <v>57.4154688569473</v>
      </c>
      <c r="F52" s="388" t="s">
        <v>320</v>
      </c>
      <c r="G52" s="389">
        <v>34230</v>
      </c>
      <c r="H52" s="225" t="s">
        <v>321</v>
      </c>
      <c r="I52" s="225"/>
      <c r="J52" s="225"/>
      <c r="K52" s="226" t="s">
        <v>322</v>
      </c>
      <c r="L52" s="226" t="s">
        <v>158</v>
      </c>
      <c r="M52" s="226" t="s">
        <v>323</v>
      </c>
      <c r="N52" s="226" t="s">
        <v>207</v>
      </c>
      <c r="O52" s="226" t="s">
        <v>64</v>
      </c>
      <c r="P52" s="226" t="s">
        <v>65</v>
      </c>
      <c r="Q52" s="225" t="s">
        <v>121</v>
      </c>
      <c r="R52" s="225" t="s">
        <v>67</v>
      </c>
      <c r="S52" s="225"/>
      <c r="T52" s="225" t="s">
        <v>68</v>
      </c>
      <c r="U52" s="17" t="s">
        <v>44</v>
      </c>
      <c r="V52" s="17" t="s">
        <v>45</v>
      </c>
      <c r="W52" s="17" t="s">
        <v>46</v>
      </c>
      <c r="X52" s="17" t="s">
        <v>47</v>
      </c>
      <c r="Y52" s="17" t="s">
        <v>48</v>
      </c>
      <c r="Z52" s="17" t="s">
        <v>49</v>
      </c>
      <c r="AA52" s="19">
        <v>45303</v>
      </c>
      <c r="AB52" s="19">
        <f t="shared" si="13"/>
        <v>46398.75</v>
      </c>
      <c r="AC52" s="38">
        <v>111100685440</v>
      </c>
      <c r="AD52" s="50"/>
      <c r="AE52" s="19">
        <v>45338</v>
      </c>
      <c r="AF52" s="62">
        <v>46076</v>
      </c>
      <c r="AG52" s="335">
        <f t="shared" si="11"/>
        <v>46076</v>
      </c>
      <c r="AH52" s="108" t="s">
        <v>324</v>
      </c>
      <c r="AI52" s="134">
        <v>63.8</v>
      </c>
    </row>
    <row r="53" spans="1:36">
      <c r="A53" s="56"/>
      <c r="B53" s="33" t="s">
        <v>325</v>
      </c>
      <c r="C53" s="4" t="s">
        <v>326</v>
      </c>
      <c r="D53" s="19">
        <v>28033</v>
      </c>
      <c r="E53" s="46">
        <f t="shared" ca="1" si="15"/>
        <v>49.57973990417522</v>
      </c>
      <c r="F53" s="16" t="s">
        <v>327</v>
      </c>
      <c r="G53" s="14">
        <v>94240</v>
      </c>
      <c r="H53" s="4" t="s">
        <v>328</v>
      </c>
      <c r="I53" s="4"/>
      <c r="J53" s="4"/>
      <c r="K53" s="17" t="s">
        <v>329</v>
      </c>
      <c r="L53" s="17" t="s">
        <v>330</v>
      </c>
      <c r="M53" s="17" t="s">
        <v>331</v>
      </c>
      <c r="N53" s="17" t="s">
        <v>332</v>
      </c>
      <c r="O53" s="17" t="s">
        <v>64</v>
      </c>
      <c r="P53" s="17" t="s">
        <v>65</v>
      </c>
      <c r="Q53" s="4" t="s">
        <v>246</v>
      </c>
      <c r="R53" s="4" t="s">
        <v>67</v>
      </c>
      <c r="S53" s="4"/>
      <c r="T53" s="4" t="s">
        <v>68</v>
      </c>
      <c r="U53" s="17"/>
      <c r="V53" s="17"/>
      <c r="W53" s="17" t="s">
        <v>46</v>
      </c>
      <c r="X53" s="17" t="s">
        <v>47</v>
      </c>
      <c r="Y53" s="17"/>
      <c r="Z53" s="17"/>
      <c r="AA53" s="19">
        <v>45511</v>
      </c>
      <c r="AB53" s="167">
        <f t="shared" si="13"/>
        <v>46606.75</v>
      </c>
      <c r="AC53" s="38">
        <v>111200396263</v>
      </c>
      <c r="AD53" s="19">
        <v>45589</v>
      </c>
      <c r="AE53" s="50"/>
      <c r="AF53" s="62">
        <v>46319</v>
      </c>
      <c r="AG53" s="335">
        <f t="shared" si="11"/>
        <v>46319</v>
      </c>
      <c r="AH53" s="108"/>
      <c r="AI53" s="134">
        <v>64.75</v>
      </c>
    </row>
    <row r="54" spans="1:36">
      <c r="A54" s="56"/>
      <c r="B54" s="33" t="s">
        <v>333</v>
      </c>
      <c r="C54" s="4" t="s">
        <v>334</v>
      </c>
      <c r="D54" s="19">
        <v>30077</v>
      </c>
      <c r="E54" s="46">
        <f t="shared" ca="1" si="15"/>
        <v>43.983572895277206</v>
      </c>
      <c r="F54" s="16" t="s">
        <v>335</v>
      </c>
      <c r="G54" s="14">
        <v>76620</v>
      </c>
      <c r="H54" s="4" t="s">
        <v>242</v>
      </c>
      <c r="I54" s="4"/>
      <c r="J54" s="4"/>
      <c r="K54" s="17" t="s">
        <v>336</v>
      </c>
      <c r="L54" s="17" t="s">
        <v>337</v>
      </c>
      <c r="M54" s="17" t="s">
        <v>338</v>
      </c>
      <c r="N54" s="17" t="s">
        <v>339</v>
      </c>
      <c r="O54" s="17" t="s">
        <v>64</v>
      </c>
      <c r="P54" s="17" t="s">
        <v>65</v>
      </c>
      <c r="Q54" s="4" t="s">
        <v>340</v>
      </c>
      <c r="R54" s="4" t="s">
        <v>67</v>
      </c>
      <c r="S54" s="4"/>
      <c r="T54" s="4" t="s">
        <v>68</v>
      </c>
      <c r="U54" s="17"/>
      <c r="V54" s="17"/>
      <c r="W54" s="17" t="s">
        <v>46</v>
      </c>
      <c r="X54" s="17" t="s">
        <v>47</v>
      </c>
      <c r="Y54" s="17"/>
      <c r="Z54" s="17"/>
      <c r="AA54" s="19">
        <v>45558</v>
      </c>
      <c r="AB54" s="19">
        <f t="shared" si="13"/>
        <v>46653.75</v>
      </c>
      <c r="AC54" s="38">
        <v>111200396316</v>
      </c>
      <c r="AD54" s="19">
        <v>45595</v>
      </c>
      <c r="AE54" s="50"/>
      <c r="AF54" s="62">
        <v>46325</v>
      </c>
      <c r="AG54" s="335">
        <f t="shared" si="11"/>
        <v>46325</v>
      </c>
      <c r="AH54" s="108"/>
      <c r="AI54">
        <v>64.75</v>
      </c>
    </row>
    <row r="55" spans="1:36" ht="12.75" customHeight="1">
      <c r="A55" s="56"/>
      <c r="B55" s="33" t="s">
        <v>341</v>
      </c>
      <c r="C55" s="4" t="s">
        <v>342</v>
      </c>
      <c r="D55" s="19">
        <v>30065</v>
      </c>
      <c r="E55" s="46">
        <f t="shared" ca="1" si="15"/>
        <v>44.016427104722794</v>
      </c>
      <c r="F55" s="16" t="s">
        <v>343</v>
      </c>
      <c r="G55" s="14">
        <v>78730</v>
      </c>
      <c r="H55" s="4" t="s">
        <v>344</v>
      </c>
      <c r="I55" s="4"/>
      <c r="J55" s="4"/>
      <c r="K55" s="17" t="s">
        <v>345</v>
      </c>
      <c r="L55" s="17" t="s">
        <v>346</v>
      </c>
      <c r="M55" s="17" t="s">
        <v>347</v>
      </c>
      <c r="N55" s="17" t="s">
        <v>348</v>
      </c>
      <c r="O55" s="17" t="s">
        <v>64</v>
      </c>
      <c r="P55" s="17" t="s">
        <v>65</v>
      </c>
      <c r="Q55" s="4" t="s">
        <v>349</v>
      </c>
      <c r="R55" s="4" t="s">
        <v>67</v>
      </c>
      <c r="S55" s="4"/>
      <c r="T55" s="4" t="s">
        <v>68</v>
      </c>
      <c r="U55" s="17"/>
      <c r="V55" s="17"/>
      <c r="W55" s="17" t="s">
        <v>46</v>
      </c>
      <c r="X55" s="17" t="s">
        <v>47</v>
      </c>
      <c r="Y55" s="17"/>
      <c r="Z55" s="17"/>
      <c r="AA55" s="19">
        <v>45730</v>
      </c>
      <c r="AB55" s="109">
        <f t="shared" si="13"/>
        <v>46825.75</v>
      </c>
      <c r="AC55" s="38">
        <v>111200397239</v>
      </c>
      <c r="AD55" s="50"/>
      <c r="AE55" s="164">
        <v>45735</v>
      </c>
      <c r="AF55" s="62">
        <v>46467</v>
      </c>
      <c r="AG55" s="335">
        <f t="shared" si="11"/>
        <v>46467</v>
      </c>
      <c r="AH55" s="108"/>
      <c r="AI55">
        <v>64.75</v>
      </c>
    </row>
    <row r="56" spans="1:36">
      <c r="A56" s="56"/>
      <c r="B56" s="364" t="s">
        <v>350</v>
      </c>
      <c r="C56" s="173" t="s">
        <v>351</v>
      </c>
      <c r="D56" s="170">
        <v>38054</v>
      </c>
      <c r="E56" s="171">
        <f t="shared" ca="1" si="15"/>
        <v>22.143737166324435</v>
      </c>
      <c r="F56" s="153" t="s">
        <v>352</v>
      </c>
      <c r="G56" s="172">
        <v>95210</v>
      </c>
      <c r="H56" s="173" t="s">
        <v>353</v>
      </c>
      <c r="I56" s="173"/>
      <c r="J56" s="173"/>
      <c r="K56" s="174" t="s">
        <v>354</v>
      </c>
      <c r="L56" s="174" t="s">
        <v>355</v>
      </c>
      <c r="M56" s="174" t="s">
        <v>356</v>
      </c>
      <c r="N56" s="174" t="s">
        <v>89</v>
      </c>
      <c r="O56" s="174" t="s">
        <v>64</v>
      </c>
      <c r="P56" s="174" t="s">
        <v>65</v>
      </c>
      <c r="Q56" s="173" t="s">
        <v>357</v>
      </c>
      <c r="R56" s="173" t="s">
        <v>358</v>
      </c>
      <c r="S56" s="170">
        <v>46265</v>
      </c>
      <c r="T56" s="173" t="s">
        <v>68</v>
      </c>
      <c r="U56" s="174"/>
      <c r="V56" s="174"/>
      <c r="W56" s="174" t="s">
        <v>46</v>
      </c>
      <c r="X56" s="174" t="s">
        <v>47</v>
      </c>
      <c r="Y56" s="17"/>
      <c r="Z56" s="17"/>
      <c r="AA56" s="222">
        <v>45966</v>
      </c>
      <c r="AB56" s="19">
        <v>46265</v>
      </c>
      <c r="AC56" s="224">
        <v>111200398761</v>
      </c>
      <c r="AD56" s="50"/>
      <c r="AE56" s="19">
        <v>45981</v>
      </c>
      <c r="AF56" s="62">
        <v>46736</v>
      </c>
      <c r="AG56" s="335">
        <f t="shared" si="11"/>
        <v>46265</v>
      </c>
      <c r="AH56" s="108"/>
      <c r="AI56">
        <v>67.25</v>
      </c>
    </row>
    <row r="57" spans="1:36">
      <c r="A57" s="204"/>
      <c r="B57" s="179" t="s">
        <v>359</v>
      </c>
      <c r="C57" s="108" t="s">
        <v>360</v>
      </c>
      <c r="D57" s="109">
        <v>27224</v>
      </c>
      <c r="E57" s="94">
        <f t="shared" ca="1" si="8"/>
        <v>51.794661190965094</v>
      </c>
      <c r="F57" s="110" t="s">
        <v>361</v>
      </c>
      <c r="G57" s="111">
        <v>65290</v>
      </c>
      <c r="H57" s="108" t="s">
        <v>362</v>
      </c>
      <c r="I57" s="108"/>
      <c r="J57" s="108"/>
      <c r="K57" s="112" t="s">
        <v>363</v>
      </c>
      <c r="L57" s="112" t="s">
        <v>364</v>
      </c>
      <c r="M57" s="112" t="s">
        <v>365</v>
      </c>
      <c r="N57" s="112" t="s">
        <v>366</v>
      </c>
      <c r="O57" s="112" t="s">
        <v>64</v>
      </c>
      <c r="P57" s="205" t="s">
        <v>65</v>
      </c>
      <c r="Q57" s="108" t="s">
        <v>66</v>
      </c>
      <c r="R57" s="108" t="s">
        <v>67</v>
      </c>
      <c r="S57" s="108"/>
      <c r="T57" s="108" t="s">
        <v>68</v>
      </c>
      <c r="U57" s="112" t="s">
        <v>44</v>
      </c>
      <c r="V57" s="112"/>
      <c r="W57" s="112" t="s">
        <v>46</v>
      </c>
      <c r="X57" s="112" t="s">
        <v>47</v>
      </c>
      <c r="Y57" s="112"/>
      <c r="Z57" s="112"/>
      <c r="AA57" s="109">
        <v>45305</v>
      </c>
      <c r="AB57" s="109">
        <f t="shared" si="9"/>
        <v>46400.75</v>
      </c>
      <c r="AC57" s="132">
        <v>111100690706</v>
      </c>
      <c r="AD57" s="86"/>
      <c r="AE57" s="109">
        <v>45357</v>
      </c>
      <c r="AF57" s="146">
        <v>46090</v>
      </c>
      <c r="AG57" s="335">
        <f t="shared" si="11"/>
        <v>46090</v>
      </c>
      <c r="AH57" s="108" t="s">
        <v>367</v>
      </c>
      <c r="AI57" s="134">
        <v>63.8</v>
      </c>
    </row>
    <row r="58" spans="1:36">
      <c r="A58" s="204"/>
      <c r="B58" s="179" t="s">
        <v>368</v>
      </c>
      <c r="C58" s="108" t="s">
        <v>369</v>
      </c>
      <c r="D58" s="109">
        <v>22811</v>
      </c>
      <c r="E58" s="94">
        <f t="shared" ca="1" si="8"/>
        <v>63.876796714579058</v>
      </c>
      <c r="F58" s="110" t="s">
        <v>370</v>
      </c>
      <c r="G58" s="111">
        <v>78150</v>
      </c>
      <c r="H58" s="108" t="s">
        <v>371</v>
      </c>
      <c r="I58" s="108"/>
      <c r="J58" s="108"/>
      <c r="K58" s="112" t="s">
        <v>372</v>
      </c>
      <c r="L58" s="112" t="s">
        <v>373</v>
      </c>
      <c r="M58" s="112" t="s">
        <v>374</v>
      </c>
      <c r="N58" s="112" t="s">
        <v>375</v>
      </c>
      <c r="O58" s="112" t="s">
        <v>64</v>
      </c>
      <c r="P58" s="205" t="s">
        <v>65</v>
      </c>
      <c r="Q58" s="108" t="s">
        <v>376</v>
      </c>
      <c r="R58" s="108" t="s">
        <v>67</v>
      </c>
      <c r="S58" s="108"/>
      <c r="T58" s="108" t="s">
        <v>68</v>
      </c>
      <c r="U58" s="112" t="s">
        <v>44</v>
      </c>
      <c r="V58" s="112" t="s">
        <v>45</v>
      </c>
      <c r="W58" s="112" t="s">
        <v>46</v>
      </c>
      <c r="X58" s="112" t="s">
        <v>47</v>
      </c>
      <c r="Y58" s="112" t="s">
        <v>48</v>
      </c>
      <c r="Z58" s="112" t="s">
        <v>49</v>
      </c>
      <c r="AA58" s="109">
        <v>45268</v>
      </c>
      <c r="AB58" s="109">
        <f t="shared" si="9"/>
        <v>46363.75</v>
      </c>
      <c r="AC58" s="132">
        <v>111100682874</v>
      </c>
      <c r="AD58" s="86"/>
      <c r="AE58" s="109">
        <v>45315</v>
      </c>
      <c r="AF58" s="146">
        <v>46047</v>
      </c>
      <c r="AG58" s="335">
        <f t="shared" si="11"/>
        <v>46047</v>
      </c>
      <c r="AH58" s="108" t="s">
        <v>377</v>
      </c>
      <c r="AI58" s="134">
        <v>63.8</v>
      </c>
    </row>
    <row r="59" spans="1:36">
      <c r="A59" s="56"/>
      <c r="B59" s="33" t="s">
        <v>378</v>
      </c>
      <c r="C59" s="4" t="s">
        <v>379</v>
      </c>
      <c r="D59" s="19">
        <v>28181</v>
      </c>
      <c r="E59" s="46">
        <f ca="1">IF(D59="","",($D$2-D59)/365.25)</f>
        <v>49.17453798767967</v>
      </c>
      <c r="F59" s="16" t="s">
        <v>380</v>
      </c>
      <c r="G59" s="14">
        <v>69910</v>
      </c>
      <c r="H59" s="4" t="s">
        <v>381</v>
      </c>
      <c r="I59" s="4"/>
      <c r="J59" s="4"/>
      <c r="K59" s="17" t="s">
        <v>382</v>
      </c>
      <c r="L59" s="17" t="s">
        <v>261</v>
      </c>
      <c r="M59" s="17" t="s">
        <v>383</v>
      </c>
      <c r="N59" s="17" t="s">
        <v>384</v>
      </c>
      <c r="O59" s="17" t="s">
        <v>64</v>
      </c>
      <c r="P59" s="17" t="s">
        <v>65</v>
      </c>
      <c r="Q59" s="4" t="s">
        <v>385</v>
      </c>
      <c r="R59" s="4" t="s">
        <v>67</v>
      </c>
      <c r="S59" s="4"/>
      <c r="T59" s="4" t="s">
        <v>68</v>
      </c>
      <c r="U59" s="17"/>
      <c r="V59" s="17"/>
      <c r="W59" s="17" t="s">
        <v>46</v>
      </c>
      <c r="X59" s="17" t="s">
        <v>47</v>
      </c>
      <c r="Y59" s="17"/>
      <c r="Z59" s="17"/>
      <c r="AA59" s="222">
        <v>45643</v>
      </c>
      <c r="AB59" s="109">
        <f>IF(AA59="","",AA59+365.25*3)</f>
        <v>46738.75</v>
      </c>
      <c r="AC59" s="224">
        <v>111200396725</v>
      </c>
      <c r="AD59" s="19">
        <v>45678</v>
      </c>
      <c r="AE59" s="228"/>
      <c r="AF59" s="62">
        <v>46408</v>
      </c>
      <c r="AG59" s="335">
        <f t="shared" si="11"/>
        <v>46408</v>
      </c>
      <c r="AH59" s="108"/>
      <c r="AI59">
        <v>64.75</v>
      </c>
    </row>
    <row r="60" spans="1:36">
      <c r="A60" s="56"/>
      <c r="B60" s="33" t="s">
        <v>386</v>
      </c>
      <c r="C60" s="4" t="s">
        <v>387</v>
      </c>
      <c r="D60" s="19">
        <v>30546</v>
      </c>
      <c r="E60" s="46">
        <f ca="1">IF(D60="","",($D$2-D60)/365.25)</f>
        <v>42.699520876112253</v>
      </c>
      <c r="F60" s="16" t="s">
        <v>388</v>
      </c>
      <c r="G60" s="14">
        <v>27870</v>
      </c>
      <c r="H60" s="4" t="s">
        <v>389</v>
      </c>
      <c r="I60" s="4"/>
      <c r="J60" s="4"/>
      <c r="K60" s="17" t="s">
        <v>390</v>
      </c>
      <c r="L60" s="17" t="s">
        <v>391</v>
      </c>
      <c r="M60" s="17" t="s">
        <v>392</v>
      </c>
      <c r="N60" s="17" t="s">
        <v>393</v>
      </c>
      <c r="O60" s="17" t="s">
        <v>64</v>
      </c>
      <c r="P60" s="17" t="s">
        <v>65</v>
      </c>
      <c r="Q60" s="4" t="s">
        <v>385</v>
      </c>
      <c r="R60" s="4" t="s">
        <v>67</v>
      </c>
      <c r="S60" s="4"/>
      <c r="T60" s="4" t="s">
        <v>68</v>
      </c>
      <c r="U60" s="17"/>
      <c r="V60" s="17"/>
      <c r="W60" s="17" t="s">
        <v>46</v>
      </c>
      <c r="X60" s="17" t="s">
        <v>47</v>
      </c>
      <c r="Y60" s="17"/>
      <c r="Z60" s="17"/>
      <c r="AA60" s="19">
        <v>45779</v>
      </c>
      <c r="AB60" s="19">
        <f>IF(AA60="","",AA60+365.25*3)</f>
        <v>46874.75</v>
      </c>
      <c r="AC60" s="38">
        <v>111200397560</v>
      </c>
      <c r="AD60" s="30">
        <v>46105</v>
      </c>
      <c r="AE60" s="228"/>
      <c r="AF60" s="62">
        <v>46836</v>
      </c>
      <c r="AG60" s="335">
        <f t="shared" si="11"/>
        <v>46836</v>
      </c>
      <c r="AH60" s="108"/>
      <c r="AI60">
        <v>67.25</v>
      </c>
    </row>
    <row r="61" spans="1:36">
      <c r="A61" s="56"/>
      <c r="B61" s="33" t="s">
        <v>394</v>
      </c>
      <c r="C61" s="4" t="s">
        <v>314</v>
      </c>
      <c r="D61" s="19">
        <v>21480</v>
      </c>
      <c r="E61" s="46">
        <f ca="1">IF(D61="","",($D$2-D61)/365.25)</f>
        <v>67.520876112251884</v>
      </c>
      <c r="F61" s="16" t="s">
        <v>395</v>
      </c>
      <c r="G61" s="14">
        <v>80000</v>
      </c>
      <c r="H61" s="4" t="s">
        <v>396</v>
      </c>
      <c r="I61" s="4"/>
      <c r="J61" s="4"/>
      <c r="K61" s="17" t="s">
        <v>397</v>
      </c>
      <c r="L61" s="17" t="s">
        <v>398</v>
      </c>
      <c r="M61" s="17" t="s">
        <v>399</v>
      </c>
      <c r="N61" s="17" t="s">
        <v>400</v>
      </c>
      <c r="O61" s="17" t="s">
        <v>64</v>
      </c>
      <c r="P61" s="17" t="s">
        <v>65</v>
      </c>
      <c r="Q61" s="4" t="s">
        <v>101</v>
      </c>
      <c r="R61" s="4" t="s">
        <v>67</v>
      </c>
      <c r="S61" s="4"/>
      <c r="T61" s="4" t="s">
        <v>68</v>
      </c>
      <c r="U61" s="17"/>
      <c r="V61" s="17"/>
      <c r="W61" s="17" t="s">
        <v>46</v>
      </c>
      <c r="X61" s="17" t="s">
        <v>47</v>
      </c>
      <c r="Y61" s="17"/>
      <c r="Z61" s="17"/>
      <c r="AA61" s="222">
        <v>45645</v>
      </c>
      <c r="AB61" s="109">
        <f>IF(AA61="","",AA61+365.25*3)</f>
        <v>46740.75</v>
      </c>
      <c r="AC61" s="224">
        <v>111200396784</v>
      </c>
      <c r="AD61" s="19">
        <v>45685</v>
      </c>
      <c r="AE61" s="228"/>
      <c r="AF61" s="62">
        <v>46415</v>
      </c>
      <c r="AG61" s="335">
        <f t="shared" si="11"/>
        <v>46415</v>
      </c>
      <c r="AH61" s="108"/>
      <c r="AI61">
        <v>64.75</v>
      </c>
    </row>
    <row r="62" spans="1:36">
      <c r="A62" s="56"/>
      <c r="B62" s="33" t="s">
        <v>401</v>
      </c>
      <c r="C62" s="4" t="s">
        <v>402</v>
      </c>
      <c r="D62" s="19">
        <v>34805</v>
      </c>
      <c r="E62" s="46">
        <f ca="1">IF(D62="","",($D$2-D62)/365.25)</f>
        <v>31.039014373716633</v>
      </c>
      <c r="F62" s="4" t="s">
        <v>403</v>
      </c>
      <c r="G62" s="14">
        <v>91310</v>
      </c>
      <c r="H62" s="4" t="s">
        <v>404</v>
      </c>
      <c r="I62" s="4"/>
      <c r="J62" s="4"/>
      <c r="K62" s="17" t="s">
        <v>405</v>
      </c>
      <c r="L62" s="17" t="s">
        <v>364</v>
      </c>
      <c r="M62" s="17" t="s">
        <v>406</v>
      </c>
      <c r="N62" s="17" t="s">
        <v>407</v>
      </c>
      <c r="O62" s="17" t="s">
        <v>64</v>
      </c>
      <c r="P62" s="17" t="s">
        <v>65</v>
      </c>
      <c r="Q62" s="4" t="s">
        <v>408</v>
      </c>
      <c r="R62" s="4" t="s">
        <v>67</v>
      </c>
      <c r="S62" s="4"/>
      <c r="T62" s="4" t="s">
        <v>68</v>
      </c>
      <c r="U62" s="17"/>
      <c r="V62" s="17"/>
      <c r="W62" s="17" t="s">
        <v>46</v>
      </c>
      <c r="X62" s="17" t="s">
        <v>47</v>
      </c>
      <c r="Y62" s="17"/>
      <c r="Z62" s="17"/>
      <c r="AA62" s="19">
        <v>45516</v>
      </c>
      <c r="AB62" s="19">
        <f>IF(AA62="","",AA62+365.25*3)</f>
        <v>46611.75</v>
      </c>
      <c r="AC62" s="38">
        <v>111200396227</v>
      </c>
      <c r="AD62" s="86"/>
      <c r="AE62" s="19">
        <v>45546</v>
      </c>
      <c r="AF62" s="62">
        <v>46324</v>
      </c>
      <c r="AG62" s="335">
        <f t="shared" si="11"/>
        <v>46324</v>
      </c>
      <c r="AH62" s="108"/>
      <c r="AI62">
        <v>64.75</v>
      </c>
    </row>
    <row r="63" spans="1:36">
      <c r="A63" s="56"/>
      <c r="B63" s="32" t="s">
        <v>409</v>
      </c>
      <c r="C63" s="9" t="s">
        <v>410</v>
      </c>
      <c r="D63" s="30">
        <v>27711</v>
      </c>
      <c r="E63" s="87">
        <f ca="1">IF(D63="","",($D$2-D63)/365.25)</f>
        <v>50.461327857631758</v>
      </c>
      <c r="F63" s="9" t="s">
        <v>411</v>
      </c>
      <c r="G63" s="89">
        <v>85270</v>
      </c>
      <c r="H63" s="9" t="s">
        <v>412</v>
      </c>
      <c r="I63" s="9"/>
      <c r="J63" s="9"/>
      <c r="K63" s="25" t="s">
        <v>413</v>
      </c>
      <c r="L63" s="25" t="s">
        <v>414</v>
      </c>
      <c r="M63" s="25" t="s">
        <v>415</v>
      </c>
      <c r="N63" s="25" t="s">
        <v>416</v>
      </c>
      <c r="O63" s="25" t="s">
        <v>64</v>
      </c>
      <c r="P63" s="25" t="s">
        <v>65</v>
      </c>
      <c r="Q63" s="9" t="s">
        <v>417</v>
      </c>
      <c r="R63" s="9" t="s">
        <v>67</v>
      </c>
      <c r="S63" s="9"/>
      <c r="T63" s="9" t="s">
        <v>68</v>
      </c>
      <c r="U63" s="25"/>
      <c r="V63" s="25"/>
      <c r="W63" s="25" t="s">
        <v>46</v>
      </c>
      <c r="X63" s="25" t="s">
        <v>47</v>
      </c>
      <c r="Y63" s="25"/>
      <c r="Z63" s="25"/>
      <c r="AA63" s="30">
        <v>45358</v>
      </c>
      <c r="AB63" s="30">
        <f>IF(AA63="","",AA63+365.25*3)</f>
        <v>46453.75</v>
      </c>
      <c r="AC63" s="123">
        <v>111200395507</v>
      </c>
      <c r="AD63" s="30">
        <v>46086</v>
      </c>
      <c r="AE63" s="202"/>
      <c r="AF63" s="203">
        <v>46866</v>
      </c>
      <c r="AG63" s="335">
        <f t="shared" si="11"/>
        <v>46453.75</v>
      </c>
      <c r="AH63" s="109"/>
      <c r="AI63" s="134">
        <v>63.8</v>
      </c>
    </row>
    <row r="64" spans="1:36">
      <c r="A64" s="42"/>
      <c r="B64" s="33" t="s">
        <v>418</v>
      </c>
      <c r="C64" s="4" t="s">
        <v>114</v>
      </c>
      <c r="D64" s="19">
        <v>32988</v>
      </c>
      <c r="E64" s="46">
        <f t="shared" ca="1" si="8"/>
        <v>36.013689253935659</v>
      </c>
      <c r="F64" s="16" t="s">
        <v>419</v>
      </c>
      <c r="G64" s="14">
        <v>91430</v>
      </c>
      <c r="H64" s="4" t="s">
        <v>420</v>
      </c>
      <c r="I64" s="4"/>
      <c r="J64" s="4"/>
      <c r="K64" s="17" t="s">
        <v>421</v>
      </c>
      <c r="L64" s="17" t="s">
        <v>422</v>
      </c>
      <c r="M64" s="17" t="s">
        <v>423</v>
      </c>
      <c r="N64" s="17" t="s">
        <v>424</v>
      </c>
      <c r="O64" s="17" t="s">
        <v>64</v>
      </c>
      <c r="P64" s="17" t="s">
        <v>65</v>
      </c>
      <c r="Q64" s="4" t="s">
        <v>425</v>
      </c>
      <c r="R64" s="4" t="s">
        <v>67</v>
      </c>
      <c r="S64" s="4"/>
      <c r="T64" s="4" t="s">
        <v>68</v>
      </c>
      <c r="U64" s="17" t="s">
        <v>44</v>
      </c>
      <c r="V64" s="17" t="s">
        <v>45</v>
      </c>
      <c r="W64" s="17" t="s">
        <v>46</v>
      </c>
      <c r="X64" s="17" t="s">
        <v>47</v>
      </c>
      <c r="Y64" s="17" t="s">
        <v>48</v>
      </c>
      <c r="Z64" s="17" t="s">
        <v>49</v>
      </c>
      <c r="AA64" s="19">
        <v>45267</v>
      </c>
      <c r="AB64" s="19">
        <f t="shared" si="9"/>
        <v>46362.75</v>
      </c>
      <c r="AC64" s="38">
        <v>11100832800</v>
      </c>
      <c r="AD64" s="19">
        <v>46030</v>
      </c>
      <c r="AE64" s="50"/>
      <c r="AF64" s="62">
        <v>46764</v>
      </c>
      <c r="AG64" s="335">
        <f t="shared" si="11"/>
        <v>46362.75</v>
      </c>
      <c r="AH64" s="109"/>
      <c r="AI64" s="134">
        <v>63.8</v>
      </c>
      <c r="AJ64" s="133">
        <v>45261</v>
      </c>
    </row>
    <row r="65" spans="1:35">
      <c r="A65" s="56"/>
      <c r="B65" s="33" t="s">
        <v>426</v>
      </c>
      <c r="C65" s="4" t="s">
        <v>427</v>
      </c>
      <c r="D65" s="19">
        <v>24955</v>
      </c>
      <c r="E65" s="46">
        <f t="shared" ref="E65:E74" ca="1" si="16">IF(D65="","",($D$2-D65)/365.25)</f>
        <v>58.006844626967833</v>
      </c>
      <c r="F65" s="16" t="s">
        <v>428</v>
      </c>
      <c r="G65" s="14">
        <v>43000</v>
      </c>
      <c r="H65" s="4" t="s">
        <v>429</v>
      </c>
      <c r="I65" s="4"/>
      <c r="J65" s="4"/>
      <c r="K65" s="17" t="s">
        <v>430</v>
      </c>
      <c r="L65" s="17" t="s">
        <v>431</v>
      </c>
      <c r="M65" s="17" t="s">
        <v>432</v>
      </c>
      <c r="N65" s="17" t="s">
        <v>433</v>
      </c>
      <c r="O65" s="17" t="s">
        <v>64</v>
      </c>
      <c r="P65" s="17" t="s">
        <v>65</v>
      </c>
      <c r="Q65" s="4" t="s">
        <v>434</v>
      </c>
      <c r="R65" s="4" t="s">
        <v>67</v>
      </c>
      <c r="S65" s="4"/>
      <c r="T65" s="4" t="s">
        <v>68</v>
      </c>
      <c r="U65" s="17"/>
      <c r="V65" s="17"/>
      <c r="W65" s="17" t="s">
        <v>46</v>
      </c>
      <c r="X65" s="17" t="s">
        <v>47</v>
      </c>
      <c r="Y65" s="17"/>
      <c r="Z65" s="17"/>
      <c r="AA65" s="19">
        <v>45340</v>
      </c>
      <c r="AB65" s="19">
        <f>IF(AA65="","",AA65+365.25*3)</f>
        <v>46435.75</v>
      </c>
      <c r="AC65" s="38">
        <v>111100690699</v>
      </c>
      <c r="AD65" s="124"/>
      <c r="AE65" s="19">
        <v>45517</v>
      </c>
      <c r="AF65" s="62">
        <v>46247</v>
      </c>
      <c r="AG65" s="335">
        <f t="shared" si="11"/>
        <v>46247</v>
      </c>
      <c r="AH65" s="108"/>
      <c r="AI65" s="134">
        <v>63.8</v>
      </c>
    </row>
    <row r="66" spans="1:35">
      <c r="A66" s="56"/>
      <c r="B66" s="33" t="s">
        <v>435</v>
      </c>
      <c r="C66" s="4" t="s">
        <v>436</v>
      </c>
      <c r="D66" s="19">
        <v>24038</v>
      </c>
      <c r="E66" s="151">
        <f t="shared" ca="1" si="16"/>
        <v>60.517453798767967</v>
      </c>
      <c r="F66" s="150" t="s">
        <v>437</v>
      </c>
      <c r="G66" s="152">
        <v>59630</v>
      </c>
      <c r="H66" s="79" t="s">
        <v>438</v>
      </c>
      <c r="I66" s="79"/>
      <c r="J66" s="79"/>
      <c r="K66" s="17" t="s">
        <v>439</v>
      </c>
      <c r="L66" s="17" t="s">
        <v>440</v>
      </c>
      <c r="M66" s="17" t="s">
        <v>441</v>
      </c>
      <c r="N66" s="17" t="s">
        <v>375</v>
      </c>
      <c r="O66" s="17" t="s">
        <v>64</v>
      </c>
      <c r="P66" s="17" t="s">
        <v>190</v>
      </c>
      <c r="Q66" s="4" t="s">
        <v>442</v>
      </c>
      <c r="R66" s="4" t="s">
        <v>67</v>
      </c>
      <c r="S66" s="4"/>
      <c r="T66" s="4" t="s">
        <v>68</v>
      </c>
      <c r="U66" s="17"/>
      <c r="V66" s="17"/>
      <c r="W66" s="17" t="s">
        <v>46</v>
      </c>
      <c r="X66" s="17" t="s">
        <v>47</v>
      </c>
      <c r="Y66" s="17"/>
      <c r="Z66" s="17"/>
      <c r="AA66" s="19">
        <v>45378</v>
      </c>
      <c r="AB66" s="19">
        <v>46473</v>
      </c>
      <c r="AC66" s="38">
        <v>111200395823</v>
      </c>
      <c r="AD66" s="19">
        <v>45572</v>
      </c>
      <c r="AE66" s="75"/>
      <c r="AF66" s="62">
        <v>46303</v>
      </c>
      <c r="AG66" s="335">
        <f t="shared" si="11"/>
        <v>46303</v>
      </c>
      <c r="AH66" s="108"/>
      <c r="AI66" s="134">
        <v>63.8</v>
      </c>
    </row>
    <row r="67" spans="1:35">
      <c r="A67" s="204"/>
      <c r="B67" s="285" t="s">
        <v>443</v>
      </c>
      <c r="C67" s="108" t="s">
        <v>444</v>
      </c>
      <c r="D67" s="273">
        <v>33247</v>
      </c>
      <c r="E67" s="94">
        <f ca="1">IF(D67="","",($D$2-D67)/365.25)</f>
        <v>35.304585900068446</v>
      </c>
      <c r="F67" s="110" t="s">
        <v>445</v>
      </c>
      <c r="G67" s="111">
        <v>91310</v>
      </c>
      <c r="H67" s="108" t="s">
        <v>404</v>
      </c>
      <c r="I67" s="108"/>
      <c r="J67" s="108"/>
      <c r="K67" s="112" t="s">
        <v>446</v>
      </c>
      <c r="L67" s="112" t="s">
        <v>447</v>
      </c>
      <c r="M67" s="112" t="s">
        <v>448</v>
      </c>
      <c r="N67" s="112" t="s">
        <v>449</v>
      </c>
      <c r="O67" s="112" t="s">
        <v>64</v>
      </c>
      <c r="P67" s="112" t="s">
        <v>190</v>
      </c>
      <c r="Q67" s="108" t="s">
        <v>121</v>
      </c>
      <c r="R67" s="108" t="s">
        <v>67</v>
      </c>
      <c r="S67" s="108"/>
      <c r="T67" s="108" t="s">
        <v>68</v>
      </c>
      <c r="U67" s="112"/>
      <c r="V67" s="112"/>
      <c r="W67" s="112" t="s">
        <v>46</v>
      </c>
      <c r="X67" s="112" t="s">
        <v>47</v>
      </c>
      <c r="Y67" s="112"/>
      <c r="Z67" s="112"/>
      <c r="AA67" s="109">
        <v>45866</v>
      </c>
      <c r="AB67" s="109">
        <f>IF(AA67="","",AA67+365.25*3)</f>
        <v>46961.75</v>
      </c>
      <c r="AC67" s="132">
        <v>111200398292</v>
      </c>
      <c r="AD67" s="86"/>
      <c r="AE67" s="303">
        <v>45874</v>
      </c>
      <c r="AF67" s="109"/>
      <c r="AG67" s="335">
        <f t="shared" si="11"/>
        <v>46961.75</v>
      </c>
      <c r="AH67" s="108"/>
      <c r="AI67">
        <v>67.25</v>
      </c>
    </row>
    <row r="68" spans="1:35">
      <c r="A68" s="56"/>
      <c r="B68" s="33" t="s">
        <v>450</v>
      </c>
      <c r="C68" s="4" t="s">
        <v>346</v>
      </c>
      <c r="D68" s="19">
        <v>35110</v>
      </c>
      <c r="E68" s="46">
        <f ca="1">IF(D68="","",($D$2-D68)/365.25)</f>
        <v>30.203969883641342</v>
      </c>
      <c r="F68" s="16" t="s">
        <v>451</v>
      </c>
      <c r="G68" s="14">
        <v>77340</v>
      </c>
      <c r="H68" s="4" t="s">
        <v>452</v>
      </c>
      <c r="I68" s="4"/>
      <c r="J68" s="4"/>
      <c r="K68" s="17" t="s">
        <v>453</v>
      </c>
      <c r="L68" s="17" t="s">
        <v>454</v>
      </c>
      <c r="M68" s="17" t="s">
        <v>455</v>
      </c>
      <c r="N68" s="17" t="s">
        <v>456</v>
      </c>
      <c r="O68" s="17" t="s">
        <v>64</v>
      </c>
      <c r="P68" s="17" t="s">
        <v>65</v>
      </c>
      <c r="Q68" s="4" t="s">
        <v>385</v>
      </c>
      <c r="R68" s="4" t="s">
        <v>67</v>
      </c>
      <c r="S68" s="4"/>
      <c r="T68" s="4" t="s">
        <v>68</v>
      </c>
      <c r="U68" s="17"/>
      <c r="V68" s="17"/>
      <c r="W68" s="17" t="s">
        <v>46</v>
      </c>
      <c r="X68" s="17" t="s">
        <v>47</v>
      </c>
      <c r="Y68" s="17"/>
      <c r="Z68" s="17"/>
      <c r="AA68" s="19">
        <v>45757</v>
      </c>
      <c r="AB68" s="19">
        <f>IF(AA68="","",AA68+365.25*3)</f>
        <v>46852.75</v>
      </c>
      <c r="AC68" s="38">
        <v>111200397389</v>
      </c>
      <c r="AD68" s="19">
        <v>45841</v>
      </c>
      <c r="AE68" s="228"/>
      <c r="AF68" s="62">
        <v>46571</v>
      </c>
      <c r="AG68" s="335">
        <f t="shared" si="11"/>
        <v>46571</v>
      </c>
      <c r="AH68" s="108"/>
      <c r="AI68">
        <v>67.25</v>
      </c>
    </row>
    <row r="69" spans="1:35" s="18" customFormat="1">
      <c r="A69" s="56"/>
      <c r="B69" s="33" t="s">
        <v>457</v>
      </c>
      <c r="C69" s="4" t="s">
        <v>458</v>
      </c>
      <c r="D69" s="19">
        <v>31423</v>
      </c>
      <c r="E69" s="151">
        <f t="shared" ca="1" si="16"/>
        <v>40.298425735797402</v>
      </c>
      <c r="F69" s="110" t="s">
        <v>459</v>
      </c>
      <c r="G69" s="152">
        <v>94370</v>
      </c>
      <c r="H69" s="4" t="s">
        <v>460</v>
      </c>
      <c r="I69" s="4"/>
      <c r="J69" s="4"/>
      <c r="K69" s="17" t="s">
        <v>461</v>
      </c>
      <c r="L69" s="17" t="s">
        <v>76</v>
      </c>
      <c r="M69" s="17" t="s">
        <v>462</v>
      </c>
      <c r="N69" s="17" t="s">
        <v>463</v>
      </c>
      <c r="O69" s="17" t="s">
        <v>64</v>
      </c>
      <c r="P69" s="17" t="s">
        <v>65</v>
      </c>
      <c r="Q69" s="4" t="s">
        <v>464</v>
      </c>
      <c r="R69" s="4" t="s">
        <v>67</v>
      </c>
      <c r="S69" s="4"/>
      <c r="T69" s="4" t="s">
        <v>68</v>
      </c>
      <c r="U69" s="17"/>
      <c r="V69" s="17"/>
      <c r="W69" s="17" t="s">
        <v>46</v>
      </c>
      <c r="X69" s="17" t="s">
        <v>47</v>
      </c>
      <c r="Y69" s="17" t="s">
        <v>48</v>
      </c>
      <c r="Z69" s="17"/>
      <c r="AA69" s="19">
        <v>45371</v>
      </c>
      <c r="AB69" s="19">
        <f>IF(AA69="","",AA69+365.25*3)</f>
        <v>46466.75</v>
      </c>
      <c r="AC69" s="165">
        <v>111100728273</v>
      </c>
      <c r="AD69" s="19">
        <v>45478</v>
      </c>
      <c r="AE69" s="75"/>
      <c r="AF69" s="62">
        <v>46208</v>
      </c>
      <c r="AG69" s="335">
        <f t="shared" si="11"/>
        <v>46208</v>
      </c>
      <c r="AH69" s="112" t="s">
        <v>367</v>
      </c>
      <c r="AI69" s="134">
        <v>63.8</v>
      </c>
    </row>
    <row r="70" spans="1:35">
      <c r="A70" s="56"/>
      <c r="B70" s="33" t="s">
        <v>102</v>
      </c>
      <c r="C70" s="4" t="s">
        <v>465</v>
      </c>
      <c r="D70" s="19">
        <v>30528</v>
      </c>
      <c r="E70" s="46">
        <f t="shared" ca="1" si="16"/>
        <v>42.748802190280628</v>
      </c>
      <c r="F70" s="88" t="s">
        <v>466</v>
      </c>
      <c r="G70" s="14">
        <v>44000</v>
      </c>
      <c r="H70" s="4" t="s">
        <v>467</v>
      </c>
      <c r="I70" s="4"/>
      <c r="J70" s="4"/>
      <c r="K70" s="17" t="s">
        <v>108</v>
      </c>
      <c r="L70" s="17" t="s">
        <v>109</v>
      </c>
      <c r="M70" s="17" t="s">
        <v>110</v>
      </c>
      <c r="N70" s="17" t="s">
        <v>111</v>
      </c>
      <c r="O70" s="17" t="s">
        <v>64</v>
      </c>
      <c r="P70" s="17" t="s">
        <v>65</v>
      </c>
      <c r="Q70" s="4" t="s">
        <v>468</v>
      </c>
      <c r="R70" s="4" t="s">
        <v>67</v>
      </c>
      <c r="S70" s="4"/>
      <c r="T70" s="4" t="s">
        <v>68</v>
      </c>
      <c r="U70" s="17" t="s">
        <v>44</v>
      </c>
      <c r="V70" s="17"/>
      <c r="W70" s="17" t="s">
        <v>46</v>
      </c>
      <c r="X70" s="17" t="s">
        <v>47</v>
      </c>
      <c r="Y70" s="17" t="s">
        <v>48</v>
      </c>
      <c r="Z70" s="17"/>
      <c r="AA70" s="19">
        <v>45301</v>
      </c>
      <c r="AB70" s="19">
        <f>IF(AA70="","",AA70+365.25*3)</f>
        <v>46396.75</v>
      </c>
      <c r="AC70" s="38">
        <v>111100685342</v>
      </c>
      <c r="AD70" s="19">
        <v>45478</v>
      </c>
      <c r="AE70" s="75"/>
      <c r="AF70" s="62">
        <v>46208</v>
      </c>
      <c r="AG70" s="335">
        <f t="shared" si="11"/>
        <v>46208</v>
      </c>
      <c r="AH70" s="108" t="s">
        <v>367</v>
      </c>
      <c r="AI70" s="134">
        <v>63.8</v>
      </c>
    </row>
    <row r="71" spans="1:35">
      <c r="A71" s="56"/>
      <c r="B71" s="33" t="s">
        <v>24</v>
      </c>
      <c r="C71" s="4" t="s">
        <v>25</v>
      </c>
      <c r="D71" s="19">
        <v>35135</v>
      </c>
      <c r="E71" s="46">
        <f t="shared" ca="1" si="16"/>
        <v>30.135523613963038</v>
      </c>
      <c r="F71" s="16" t="s">
        <v>469</v>
      </c>
      <c r="G71" s="14">
        <v>45000</v>
      </c>
      <c r="H71" s="4" t="s">
        <v>470</v>
      </c>
      <c r="I71" s="4"/>
      <c r="J71" s="4"/>
      <c r="K71" s="17" t="s">
        <v>471</v>
      </c>
      <c r="L71" s="17" t="s">
        <v>472</v>
      </c>
      <c r="M71" s="17" t="s">
        <v>473</v>
      </c>
      <c r="N71" s="17" t="s">
        <v>474</v>
      </c>
      <c r="O71" s="17" t="s">
        <v>64</v>
      </c>
      <c r="P71" s="17" t="s">
        <v>190</v>
      </c>
      <c r="Q71" s="4" t="s">
        <v>425</v>
      </c>
      <c r="R71" s="4" t="s">
        <v>67</v>
      </c>
      <c r="S71" s="4"/>
      <c r="T71" s="4" t="s">
        <v>68</v>
      </c>
      <c r="U71" s="17"/>
      <c r="V71" s="17"/>
      <c r="W71" s="17" t="s">
        <v>46</v>
      </c>
      <c r="X71" s="17" t="s">
        <v>47</v>
      </c>
      <c r="Y71" s="17"/>
      <c r="Z71" s="17"/>
      <c r="AA71" s="19">
        <v>45374</v>
      </c>
      <c r="AB71" s="19">
        <v>46464</v>
      </c>
      <c r="AC71" s="38">
        <v>11120039339</v>
      </c>
      <c r="AD71" s="19">
        <v>46086</v>
      </c>
      <c r="AE71" s="75"/>
      <c r="AF71" s="62">
        <v>46868</v>
      </c>
      <c r="AG71" s="335">
        <f t="shared" si="11"/>
        <v>46464</v>
      </c>
      <c r="AH71" s="109"/>
      <c r="AI71" s="134">
        <v>63.8</v>
      </c>
    </row>
    <row r="72" spans="1:35">
      <c r="A72" s="82"/>
      <c r="B72" s="33" t="s">
        <v>475</v>
      </c>
      <c r="C72" s="4" t="s">
        <v>476</v>
      </c>
      <c r="D72" s="19">
        <v>28176</v>
      </c>
      <c r="E72" s="46">
        <f t="shared" ca="1" si="16"/>
        <v>49.18822724161533</v>
      </c>
      <c r="F72" s="16" t="s">
        <v>477</v>
      </c>
      <c r="G72" s="14">
        <v>80250</v>
      </c>
      <c r="H72" s="4" t="s">
        <v>478</v>
      </c>
      <c r="I72" s="4"/>
      <c r="J72" s="4"/>
      <c r="K72" s="17" t="s">
        <v>479</v>
      </c>
      <c r="L72" s="17" t="s">
        <v>319</v>
      </c>
      <c r="M72" s="17" t="s">
        <v>480</v>
      </c>
      <c r="N72" s="17" t="s">
        <v>207</v>
      </c>
      <c r="O72" s="17" t="s">
        <v>64</v>
      </c>
      <c r="P72" s="17" t="s">
        <v>65</v>
      </c>
      <c r="Q72" s="4" t="s">
        <v>481</v>
      </c>
      <c r="R72" s="4" t="s">
        <v>67</v>
      </c>
      <c r="S72" s="4"/>
      <c r="T72" s="4" t="s">
        <v>68</v>
      </c>
      <c r="U72" s="17"/>
      <c r="V72" s="17"/>
      <c r="W72" s="17" t="s">
        <v>46</v>
      </c>
      <c r="X72" s="17" t="s">
        <v>47</v>
      </c>
      <c r="Y72" s="17"/>
      <c r="Z72" s="17"/>
      <c r="AA72" s="19">
        <v>45341</v>
      </c>
      <c r="AB72" s="19">
        <f t="shared" ref="AB72:AB79" si="17">IF(AA72="","",AA72+365.25*3)</f>
        <v>46436.75</v>
      </c>
      <c r="AC72" s="38">
        <v>111100694433</v>
      </c>
      <c r="AD72" s="50"/>
      <c r="AE72" s="70"/>
      <c r="AF72" s="19"/>
      <c r="AG72" s="335">
        <f t="shared" si="11"/>
        <v>46436.75</v>
      </c>
      <c r="AH72" s="108"/>
      <c r="AI72" s="134">
        <v>63.8</v>
      </c>
    </row>
    <row r="73" spans="1:35">
      <c r="A73" s="148"/>
      <c r="B73" s="285" t="s">
        <v>482</v>
      </c>
      <c r="C73" s="108" t="s">
        <v>483</v>
      </c>
      <c r="D73" s="109">
        <v>38028</v>
      </c>
      <c r="E73" s="94">
        <f ca="1">IF(D73="","",($D$2-D73)/365.25)</f>
        <v>22.21492128678987</v>
      </c>
      <c r="F73" s="110" t="s">
        <v>484</v>
      </c>
      <c r="G73" s="111">
        <v>78350</v>
      </c>
      <c r="H73" s="108" t="s">
        <v>485</v>
      </c>
      <c r="I73" s="380" t="s">
        <v>486</v>
      </c>
      <c r="J73" s="372" t="s">
        <v>487</v>
      </c>
      <c r="K73" s="112" t="s">
        <v>488</v>
      </c>
      <c r="L73" s="112" t="s">
        <v>489</v>
      </c>
      <c r="M73" s="112" t="s">
        <v>490</v>
      </c>
      <c r="N73" s="112" t="s">
        <v>89</v>
      </c>
      <c r="O73" s="112" t="s">
        <v>64</v>
      </c>
      <c r="P73" s="112" t="s">
        <v>65</v>
      </c>
      <c r="Q73" s="108" t="s">
        <v>491</v>
      </c>
      <c r="R73" s="108" t="s">
        <v>492</v>
      </c>
      <c r="S73" s="109">
        <v>46193</v>
      </c>
      <c r="T73" s="67" t="s">
        <v>68</v>
      </c>
      <c r="U73" s="112"/>
      <c r="V73" s="112"/>
      <c r="W73" s="112" t="s">
        <v>46</v>
      </c>
      <c r="X73" s="112" t="s">
        <v>47</v>
      </c>
      <c r="Y73" s="112"/>
      <c r="Z73" s="112"/>
      <c r="AA73" s="109">
        <v>46098</v>
      </c>
      <c r="AB73" s="109">
        <v>46193</v>
      </c>
      <c r="AC73" s="460">
        <v>111200399273</v>
      </c>
      <c r="AD73" s="50"/>
      <c r="AE73" s="109">
        <v>46088</v>
      </c>
      <c r="AF73" s="146">
        <v>46193</v>
      </c>
      <c r="AG73" s="335">
        <f>MIN(AB73,AF73)</f>
        <v>46193</v>
      </c>
      <c r="AH73" s="108"/>
      <c r="AI73"/>
    </row>
    <row r="74" spans="1:35" ht="12.75" customHeight="1">
      <c r="A74" s="56"/>
      <c r="B74" s="33" t="s">
        <v>493</v>
      </c>
      <c r="C74" s="4" t="s">
        <v>494</v>
      </c>
      <c r="D74" s="19">
        <v>36171</v>
      </c>
      <c r="E74" s="46">
        <f t="shared" ca="1" si="16"/>
        <v>27.299110198494184</v>
      </c>
      <c r="F74" s="16" t="s">
        <v>495</v>
      </c>
      <c r="G74" s="14">
        <v>78650</v>
      </c>
      <c r="H74" s="4" t="s">
        <v>496</v>
      </c>
      <c r="I74" s="4"/>
      <c r="J74" s="4"/>
      <c r="K74" s="17" t="s">
        <v>497</v>
      </c>
      <c r="L74" s="17" t="s">
        <v>498</v>
      </c>
      <c r="M74" s="17" t="s">
        <v>499</v>
      </c>
      <c r="N74" s="17" t="s">
        <v>500</v>
      </c>
      <c r="O74" s="17" t="s">
        <v>64</v>
      </c>
      <c r="P74" s="17" t="s">
        <v>65</v>
      </c>
      <c r="Q74" s="4" t="s">
        <v>101</v>
      </c>
      <c r="R74" s="4" t="s">
        <v>67</v>
      </c>
      <c r="S74" s="4"/>
      <c r="T74" s="4" t="s">
        <v>68</v>
      </c>
      <c r="U74" s="17"/>
      <c r="V74" s="17"/>
      <c r="W74" s="17" t="s">
        <v>46</v>
      </c>
      <c r="X74" s="17" t="s">
        <v>47</v>
      </c>
      <c r="Y74" s="17"/>
      <c r="Z74" s="17"/>
      <c r="AA74" s="19">
        <v>45716</v>
      </c>
      <c r="AB74" s="170">
        <f t="shared" si="17"/>
        <v>46811.75</v>
      </c>
      <c r="AC74" s="38">
        <v>111200397204</v>
      </c>
      <c r="AD74" s="19">
        <v>45755</v>
      </c>
      <c r="AE74" s="75"/>
      <c r="AF74" s="62">
        <v>46485</v>
      </c>
      <c r="AG74" s="335">
        <f t="shared" si="11"/>
        <v>46485</v>
      </c>
      <c r="AH74" s="108"/>
      <c r="AI74" s="134">
        <v>64.75</v>
      </c>
    </row>
    <row r="75" spans="1:35">
      <c r="A75" s="274"/>
      <c r="B75" s="206" t="s">
        <v>501</v>
      </c>
      <c r="C75" s="173" t="s">
        <v>502</v>
      </c>
      <c r="D75" s="170">
        <v>33272</v>
      </c>
      <c r="E75" s="171">
        <f t="shared" ca="1" si="8"/>
        <v>35.236139630390142</v>
      </c>
      <c r="F75" s="153" t="s">
        <v>503</v>
      </c>
      <c r="G75" s="172">
        <v>93410</v>
      </c>
      <c r="H75" s="173" t="s">
        <v>504</v>
      </c>
      <c r="I75" s="173"/>
      <c r="J75" s="173"/>
      <c r="K75" s="174" t="s">
        <v>505</v>
      </c>
      <c r="L75" s="174" t="s">
        <v>506</v>
      </c>
      <c r="M75" s="174" t="s">
        <v>507</v>
      </c>
      <c r="N75" s="174" t="s">
        <v>508</v>
      </c>
      <c r="O75" s="174" t="s">
        <v>64</v>
      </c>
      <c r="P75" s="174" t="s">
        <v>65</v>
      </c>
      <c r="Q75" s="173" t="s">
        <v>509</v>
      </c>
      <c r="R75" s="173" t="s">
        <v>67</v>
      </c>
      <c r="S75" s="173"/>
      <c r="T75" s="173" t="s">
        <v>68</v>
      </c>
      <c r="U75" s="174" t="s">
        <v>44</v>
      </c>
      <c r="V75" s="174" t="s">
        <v>45</v>
      </c>
      <c r="W75" s="174" t="s">
        <v>46</v>
      </c>
      <c r="X75" s="174" t="s">
        <v>47</v>
      </c>
      <c r="Y75" s="174" t="s">
        <v>48</v>
      </c>
      <c r="Z75" s="174" t="s">
        <v>49</v>
      </c>
      <c r="AA75" s="335">
        <v>45279</v>
      </c>
      <c r="AB75" s="109">
        <f t="shared" si="17"/>
        <v>46374.75</v>
      </c>
      <c r="AC75" s="381">
        <v>111100680662</v>
      </c>
      <c r="AD75" s="170">
        <v>45992</v>
      </c>
      <c r="AE75" s="160"/>
      <c r="AF75" s="201">
        <v>46798</v>
      </c>
      <c r="AG75" s="335">
        <f t="shared" si="11"/>
        <v>46374.75</v>
      </c>
      <c r="AH75" s="109"/>
      <c r="AI75" s="134">
        <v>63.8</v>
      </c>
    </row>
    <row r="76" spans="1:35">
      <c r="A76" s="56"/>
      <c r="B76" s="33" t="s">
        <v>510</v>
      </c>
      <c r="C76" s="4" t="s">
        <v>511</v>
      </c>
      <c r="D76" s="19">
        <v>24005</v>
      </c>
      <c r="E76" s="46">
        <f ca="1">IF(D76="","",($D$2-D76)/365.25)</f>
        <v>60.607802874743328</v>
      </c>
      <c r="F76" s="16" t="s">
        <v>512</v>
      </c>
      <c r="G76" s="14">
        <v>71310</v>
      </c>
      <c r="H76" s="4" t="s">
        <v>513</v>
      </c>
      <c r="I76" s="4"/>
      <c r="J76" s="4"/>
      <c r="K76" s="17" t="s">
        <v>514</v>
      </c>
      <c r="L76" s="17" t="s">
        <v>515</v>
      </c>
      <c r="M76" s="17" t="s">
        <v>516</v>
      </c>
      <c r="N76" s="17" t="s">
        <v>517</v>
      </c>
      <c r="O76" s="17" t="s">
        <v>64</v>
      </c>
      <c r="P76" s="17" t="s">
        <v>65</v>
      </c>
      <c r="Q76" s="4" t="s">
        <v>121</v>
      </c>
      <c r="R76" s="4" t="s">
        <v>67</v>
      </c>
      <c r="S76" s="19"/>
      <c r="T76" s="4" t="s">
        <v>68</v>
      </c>
      <c r="U76" s="17"/>
      <c r="V76" s="17"/>
      <c r="W76" s="17" t="s">
        <v>46</v>
      </c>
      <c r="X76" s="17" t="s">
        <v>47</v>
      </c>
      <c r="Y76" s="17"/>
      <c r="Z76" s="17"/>
      <c r="AA76" s="222">
        <v>45845</v>
      </c>
      <c r="AB76" s="109">
        <f t="shared" si="17"/>
        <v>46940.75</v>
      </c>
      <c r="AC76" s="224">
        <v>111200398293</v>
      </c>
      <c r="AD76" s="50"/>
      <c r="AE76" s="19">
        <v>45874</v>
      </c>
      <c r="AF76" s="62">
        <v>46604</v>
      </c>
      <c r="AG76" s="335">
        <f t="shared" si="11"/>
        <v>46604</v>
      </c>
      <c r="AH76" s="108"/>
      <c r="AI76">
        <v>67.25</v>
      </c>
    </row>
    <row r="77" spans="1:35">
      <c r="A77" s="148"/>
      <c r="B77" s="286" t="s">
        <v>518</v>
      </c>
      <c r="C77" s="108" t="s">
        <v>123</v>
      </c>
      <c r="D77" s="287">
        <v>34933</v>
      </c>
      <c r="E77" s="94">
        <f ca="1">IF(D77="","",($D$2-D77)/365.25)</f>
        <v>30.688569472963724</v>
      </c>
      <c r="F77" s="110" t="s">
        <v>519</v>
      </c>
      <c r="G77" s="111">
        <v>75013</v>
      </c>
      <c r="H77" s="108" t="s">
        <v>165</v>
      </c>
      <c r="I77" s="108"/>
      <c r="J77" s="108"/>
      <c r="K77" s="112" t="s">
        <v>520</v>
      </c>
      <c r="L77" s="112" t="s">
        <v>521</v>
      </c>
      <c r="M77" s="112" t="s">
        <v>522</v>
      </c>
      <c r="N77" s="112" t="s">
        <v>523</v>
      </c>
      <c r="O77" s="112" t="s">
        <v>64</v>
      </c>
      <c r="P77" s="112" t="s">
        <v>65</v>
      </c>
      <c r="Q77" s="108" t="s">
        <v>464</v>
      </c>
      <c r="R77" s="108" t="s">
        <v>67</v>
      </c>
      <c r="S77" s="108"/>
      <c r="T77" s="108" t="s">
        <v>68</v>
      </c>
      <c r="U77" s="112"/>
      <c r="V77" s="112"/>
      <c r="W77" s="112" t="s">
        <v>46</v>
      </c>
      <c r="X77" s="112" t="s">
        <v>47</v>
      </c>
      <c r="Y77" s="112"/>
      <c r="Z77" s="112"/>
      <c r="AA77" s="109">
        <v>45743</v>
      </c>
      <c r="AB77" s="251">
        <f t="shared" si="17"/>
        <v>46838.75</v>
      </c>
      <c r="AC77" s="132">
        <v>111200397315</v>
      </c>
      <c r="AD77" s="86"/>
      <c r="AE77" s="109">
        <v>45757</v>
      </c>
      <c r="AF77" s="146">
        <v>46512</v>
      </c>
      <c r="AG77" s="335">
        <f t="shared" si="11"/>
        <v>46512</v>
      </c>
      <c r="AH77" s="108"/>
      <c r="AI77">
        <v>64.75</v>
      </c>
    </row>
    <row r="78" spans="1:35">
      <c r="A78" s="204"/>
      <c r="B78" s="352" t="s">
        <v>524</v>
      </c>
      <c r="C78" s="108" t="s">
        <v>525</v>
      </c>
      <c r="D78" s="342">
        <v>32603</v>
      </c>
      <c r="E78" s="87">
        <f ca="1">IF(D78="","",($D$2-D78)/365.25)</f>
        <v>37.067761806981522</v>
      </c>
      <c r="F78" s="16" t="s">
        <v>526</v>
      </c>
      <c r="G78" s="14">
        <v>93600</v>
      </c>
      <c r="H78" s="4" t="s">
        <v>527</v>
      </c>
      <c r="I78" s="4"/>
      <c r="J78" s="375"/>
      <c r="K78" s="17" t="s">
        <v>528</v>
      </c>
      <c r="L78" s="17" t="s">
        <v>529</v>
      </c>
      <c r="M78" s="17" t="s">
        <v>530</v>
      </c>
      <c r="N78" s="17" t="s">
        <v>531</v>
      </c>
      <c r="O78" s="17" t="s">
        <v>64</v>
      </c>
      <c r="P78" s="17" t="s">
        <v>100</v>
      </c>
      <c r="Q78" s="4" t="s">
        <v>200</v>
      </c>
      <c r="R78" s="4" t="s">
        <v>67</v>
      </c>
      <c r="S78" s="4"/>
      <c r="T78" s="4" t="s">
        <v>68</v>
      </c>
      <c r="U78" s="17"/>
      <c r="V78" s="17"/>
      <c r="W78" s="17" t="s">
        <v>46</v>
      </c>
      <c r="X78" s="17" t="s">
        <v>47</v>
      </c>
      <c r="Y78" s="17"/>
      <c r="Z78" s="17"/>
      <c r="AA78" s="19">
        <v>45966</v>
      </c>
      <c r="AB78" s="19">
        <v>47062</v>
      </c>
      <c r="AC78" s="38">
        <v>111200398970</v>
      </c>
      <c r="AD78" s="50"/>
      <c r="AE78" s="19">
        <v>46055</v>
      </c>
      <c r="AF78" s="346">
        <v>46785</v>
      </c>
      <c r="AG78" s="335">
        <f t="shared" si="11"/>
        <v>46785</v>
      </c>
      <c r="AH78" s="108"/>
      <c r="AI78">
        <v>67.25</v>
      </c>
    </row>
    <row r="79" spans="1:35">
      <c r="A79" s="56"/>
      <c r="B79" s="33" t="s">
        <v>532</v>
      </c>
      <c r="C79" s="4" t="s">
        <v>533</v>
      </c>
      <c r="D79" s="19">
        <v>29652</v>
      </c>
      <c r="E79" s="46">
        <f ca="1">IF(D79="","",($D$2-D79)/365.25)</f>
        <v>45.147159479808352</v>
      </c>
      <c r="F79" s="16" t="s">
        <v>534</v>
      </c>
      <c r="G79" s="14">
        <v>93430</v>
      </c>
      <c r="H79" s="4" t="s">
        <v>535</v>
      </c>
      <c r="I79" s="4"/>
      <c r="J79" s="4"/>
      <c r="K79" s="17" t="s">
        <v>536</v>
      </c>
      <c r="L79" s="17"/>
      <c r="M79" s="17" t="s">
        <v>537</v>
      </c>
      <c r="N79" s="17" t="s">
        <v>538</v>
      </c>
      <c r="O79" s="17" t="s">
        <v>64</v>
      </c>
      <c r="P79" s="17" t="s">
        <v>65</v>
      </c>
      <c r="Q79" s="4" t="s">
        <v>539</v>
      </c>
      <c r="R79" s="4" t="s">
        <v>67</v>
      </c>
      <c r="S79" s="4"/>
      <c r="T79" s="4" t="s">
        <v>68</v>
      </c>
      <c r="U79" s="17"/>
      <c r="V79" s="17"/>
      <c r="W79" s="17" t="s">
        <v>46</v>
      </c>
      <c r="X79" s="17" t="s">
        <v>47</v>
      </c>
      <c r="Y79" s="17"/>
      <c r="Z79" s="17"/>
      <c r="AA79" s="19">
        <v>45835</v>
      </c>
      <c r="AB79" s="30">
        <f t="shared" si="17"/>
        <v>46930.75</v>
      </c>
      <c r="AC79" s="38">
        <v>111200398028</v>
      </c>
      <c r="AD79" s="19">
        <v>45918</v>
      </c>
      <c r="AE79" s="323"/>
      <c r="AF79" s="146">
        <v>46648</v>
      </c>
      <c r="AG79" s="335">
        <f t="shared" si="11"/>
        <v>46648</v>
      </c>
      <c r="AH79" s="108"/>
      <c r="AI79">
        <v>67.25</v>
      </c>
    </row>
    <row r="80" spans="1:35">
      <c r="A80" s="208"/>
      <c r="B80" s="32" t="s">
        <v>540</v>
      </c>
      <c r="C80" s="9" t="s">
        <v>541</v>
      </c>
      <c r="D80" s="30">
        <v>23836</v>
      </c>
      <c r="E80" s="87">
        <f t="shared" ca="1" si="8"/>
        <v>61.07049965776865</v>
      </c>
      <c r="F80" s="88" t="s">
        <v>542</v>
      </c>
      <c r="G80" s="89">
        <v>78320</v>
      </c>
      <c r="H80" s="9" t="s">
        <v>543</v>
      </c>
      <c r="I80" s="9"/>
      <c r="J80" s="9"/>
      <c r="K80" s="25" t="s">
        <v>544</v>
      </c>
      <c r="L80" s="25" t="s">
        <v>109</v>
      </c>
      <c r="M80" s="25" t="s">
        <v>545</v>
      </c>
      <c r="N80" s="25" t="s">
        <v>546</v>
      </c>
      <c r="O80" s="25" t="s">
        <v>64</v>
      </c>
      <c r="P80" s="25" t="s">
        <v>190</v>
      </c>
      <c r="Q80" s="9" t="s">
        <v>547</v>
      </c>
      <c r="R80" s="9" t="s">
        <v>67</v>
      </c>
      <c r="S80" s="9"/>
      <c r="T80" s="9" t="s">
        <v>68</v>
      </c>
      <c r="U80" s="25" t="s">
        <v>44</v>
      </c>
      <c r="V80" s="25" t="s">
        <v>45</v>
      </c>
      <c r="W80" s="25" t="s">
        <v>46</v>
      </c>
      <c r="X80" s="25" t="s">
        <v>47</v>
      </c>
      <c r="Y80" s="25" t="s">
        <v>48</v>
      </c>
      <c r="Z80" s="25" t="s">
        <v>49</v>
      </c>
      <c r="AA80" s="30">
        <v>45290</v>
      </c>
      <c r="AB80" s="30">
        <f t="shared" si="9"/>
        <v>46385.75</v>
      </c>
      <c r="AC80" s="123">
        <v>111100680785</v>
      </c>
      <c r="AD80" s="202"/>
      <c r="AE80" s="30">
        <v>46100</v>
      </c>
      <c r="AF80" s="203">
        <v>46831</v>
      </c>
      <c r="AG80" s="335">
        <f t="shared" si="11"/>
        <v>46385.75</v>
      </c>
      <c r="AH80" s="382"/>
      <c r="AI80" s="134">
        <v>63.8</v>
      </c>
    </row>
    <row r="81" spans="1:35">
      <c r="A81" s="56"/>
      <c r="B81" s="33" t="s">
        <v>548</v>
      </c>
      <c r="C81" s="4" t="s">
        <v>549</v>
      </c>
      <c r="D81" s="19">
        <v>28752</v>
      </c>
      <c r="E81" s="46">
        <f ca="1">IF(D81="","",($D$2-D81)/365.25)</f>
        <v>47.611225188227245</v>
      </c>
      <c r="F81" s="16" t="s">
        <v>550</v>
      </c>
      <c r="G81" s="14">
        <v>34080</v>
      </c>
      <c r="H81" s="4" t="s">
        <v>551</v>
      </c>
      <c r="I81" s="4"/>
      <c r="J81" s="4"/>
      <c r="K81" s="17" t="s">
        <v>552</v>
      </c>
      <c r="L81" s="17" t="s">
        <v>553</v>
      </c>
      <c r="M81" s="17" t="s">
        <v>554</v>
      </c>
      <c r="N81" s="17" t="s">
        <v>555</v>
      </c>
      <c r="O81" s="17" t="s">
        <v>64</v>
      </c>
      <c r="P81" s="17" t="s">
        <v>65</v>
      </c>
      <c r="Q81" s="4" t="s">
        <v>309</v>
      </c>
      <c r="R81" s="4" t="s">
        <v>67</v>
      </c>
      <c r="S81" s="4"/>
      <c r="T81" s="4" t="s">
        <v>68</v>
      </c>
      <c r="U81" s="17"/>
      <c r="V81" s="17"/>
      <c r="W81" s="17" t="s">
        <v>46</v>
      </c>
      <c r="X81" s="17" t="s">
        <v>47</v>
      </c>
      <c r="Y81" s="17"/>
      <c r="Z81" s="17"/>
      <c r="AA81" s="19">
        <v>45378</v>
      </c>
      <c r="AB81" s="19">
        <f>IF(AA81="","",AA81+365.25*3)</f>
        <v>46473.75</v>
      </c>
      <c r="AC81" s="38">
        <v>111200395636</v>
      </c>
      <c r="AD81" s="50"/>
      <c r="AE81" s="19">
        <v>45415</v>
      </c>
      <c r="AF81" s="62">
        <v>46155</v>
      </c>
      <c r="AG81" s="335">
        <f t="shared" si="11"/>
        <v>46155</v>
      </c>
      <c r="AH81" s="108" t="s">
        <v>367</v>
      </c>
      <c r="AI81" s="134">
        <v>63.8</v>
      </c>
    </row>
    <row r="82" spans="1:35">
      <c r="A82" s="56"/>
      <c r="B82" s="33" t="s">
        <v>556</v>
      </c>
      <c r="C82" s="4" t="s">
        <v>557</v>
      </c>
      <c r="D82" s="19">
        <v>33740</v>
      </c>
      <c r="E82" s="46">
        <f t="shared" ca="1" si="8"/>
        <v>33.954825462012323</v>
      </c>
      <c r="F82" s="16" t="s">
        <v>558</v>
      </c>
      <c r="G82" s="14">
        <v>94700</v>
      </c>
      <c r="H82" s="4" t="s">
        <v>559</v>
      </c>
      <c r="I82" s="4"/>
      <c r="J82" s="4"/>
      <c r="K82" s="17" t="s">
        <v>560</v>
      </c>
      <c r="L82" s="17" t="s">
        <v>96</v>
      </c>
      <c r="M82" s="17" t="s">
        <v>561</v>
      </c>
      <c r="N82" s="17" t="s">
        <v>562</v>
      </c>
      <c r="O82" s="17" t="s">
        <v>64</v>
      </c>
      <c r="P82" s="17" t="s">
        <v>190</v>
      </c>
      <c r="Q82" s="4" t="s">
        <v>563</v>
      </c>
      <c r="R82" s="4" t="s">
        <v>67</v>
      </c>
      <c r="S82" s="4"/>
      <c r="T82" s="4" t="s">
        <v>68</v>
      </c>
      <c r="U82" s="17" t="s">
        <v>44</v>
      </c>
      <c r="V82" s="17" t="s">
        <v>45</v>
      </c>
      <c r="W82" s="17" t="s">
        <v>46</v>
      </c>
      <c r="X82" s="17" t="s">
        <v>47</v>
      </c>
      <c r="Y82" s="17" t="s">
        <v>48</v>
      </c>
      <c r="Z82" s="17" t="s">
        <v>49</v>
      </c>
      <c r="AA82" s="19">
        <v>45299</v>
      </c>
      <c r="AB82" s="19">
        <f t="shared" si="9"/>
        <v>46394.75</v>
      </c>
      <c r="AC82" s="38">
        <v>111100685343</v>
      </c>
      <c r="AD82" s="50"/>
      <c r="AE82" s="19">
        <v>46058</v>
      </c>
      <c r="AF82" s="62">
        <v>46808</v>
      </c>
      <c r="AG82" s="335">
        <f t="shared" si="11"/>
        <v>46394.75</v>
      </c>
      <c r="AH82" s="382"/>
      <c r="AI82" s="134">
        <v>63.8</v>
      </c>
    </row>
    <row r="83" spans="1:35">
      <c r="A83" s="56"/>
      <c r="B83" s="33" t="s">
        <v>564</v>
      </c>
      <c r="C83" s="4" t="s">
        <v>565</v>
      </c>
      <c r="D83" s="19">
        <v>29837</v>
      </c>
      <c r="E83" s="46">
        <f ca="1">IF(D83="","",($D$2-D83)/365.25)</f>
        <v>44.640657084188909</v>
      </c>
      <c r="F83" s="16" t="s">
        <v>566</v>
      </c>
      <c r="G83" s="14">
        <v>54510</v>
      </c>
      <c r="H83" s="4" t="s">
        <v>567</v>
      </c>
      <c r="I83" s="4"/>
      <c r="J83" s="4"/>
      <c r="K83" s="17" t="s">
        <v>568</v>
      </c>
      <c r="L83" s="17" t="s">
        <v>569</v>
      </c>
      <c r="M83" s="17" t="s">
        <v>570</v>
      </c>
      <c r="N83" s="17" t="s">
        <v>571</v>
      </c>
      <c r="O83" s="17" t="s">
        <v>64</v>
      </c>
      <c r="P83" s="17" t="s">
        <v>65</v>
      </c>
      <c r="Q83" s="4" t="s">
        <v>572</v>
      </c>
      <c r="R83" s="4" t="s">
        <v>67</v>
      </c>
      <c r="S83" s="4"/>
      <c r="T83" s="4" t="s">
        <v>68</v>
      </c>
      <c r="U83" s="17"/>
      <c r="V83" s="17"/>
      <c r="W83" s="17" t="s">
        <v>46</v>
      </c>
      <c r="X83" s="17" t="s">
        <v>47</v>
      </c>
      <c r="Y83" s="17"/>
      <c r="Z83" s="17"/>
      <c r="AA83" s="19">
        <v>45565</v>
      </c>
      <c r="AB83" s="19">
        <f>IF(AA83="","",AA83+365.25*3)</f>
        <v>46660.75</v>
      </c>
      <c r="AC83" s="38">
        <v>111200396378</v>
      </c>
      <c r="AD83" s="19">
        <v>45608</v>
      </c>
      <c r="AE83" s="50"/>
      <c r="AF83" s="62">
        <v>46338</v>
      </c>
      <c r="AG83" s="335">
        <f t="shared" si="11"/>
        <v>46338</v>
      </c>
      <c r="AH83" s="108"/>
      <c r="AI83">
        <v>64.75</v>
      </c>
    </row>
    <row r="84" spans="1:35">
      <c r="A84" s="82"/>
      <c r="B84" s="163" t="s">
        <v>573</v>
      </c>
      <c r="C84" s="4" t="s">
        <v>574</v>
      </c>
      <c r="D84" s="19">
        <v>33976</v>
      </c>
      <c r="E84" s="46">
        <f ca="1">IF(D84="","",($D$2-D84)/365.25)</f>
        <v>33.308692676249144</v>
      </c>
      <c r="F84" s="16" t="s">
        <v>575</v>
      </c>
      <c r="G84" s="14">
        <v>75005</v>
      </c>
      <c r="H84" s="4" t="s">
        <v>165</v>
      </c>
      <c r="I84" s="4"/>
      <c r="J84" s="4"/>
      <c r="K84" s="17" t="s">
        <v>576</v>
      </c>
      <c r="L84" s="17" t="s">
        <v>577</v>
      </c>
      <c r="M84" s="17" t="s">
        <v>578</v>
      </c>
      <c r="N84" s="17" t="s">
        <v>579</v>
      </c>
      <c r="O84" s="17" t="s">
        <v>64</v>
      </c>
      <c r="P84" s="17" t="s">
        <v>580</v>
      </c>
      <c r="Q84" s="4" t="s">
        <v>581</v>
      </c>
      <c r="R84" s="4" t="s">
        <v>67</v>
      </c>
      <c r="S84" s="4"/>
      <c r="T84" s="4" t="s">
        <v>68</v>
      </c>
      <c r="U84" s="17"/>
      <c r="V84" s="17"/>
      <c r="W84" s="17" t="s">
        <v>46</v>
      </c>
      <c r="X84" s="17" t="s">
        <v>47</v>
      </c>
      <c r="Y84" s="17"/>
      <c r="Z84" s="17"/>
      <c r="AA84" s="19">
        <v>45455</v>
      </c>
      <c r="AB84" s="19">
        <f>IF(AA84="","",AA84+365.25*3)</f>
        <v>46550.75</v>
      </c>
      <c r="AC84" s="38">
        <v>111200395927</v>
      </c>
      <c r="AD84" s="50"/>
      <c r="AE84" s="196"/>
      <c r="AF84" s="19"/>
      <c r="AG84" s="335">
        <f t="shared" si="11"/>
        <v>46550.75</v>
      </c>
      <c r="AH84" s="108"/>
      <c r="AI84">
        <v>64.75</v>
      </c>
    </row>
    <row r="85" spans="1:35">
      <c r="A85" s="56"/>
      <c r="B85" s="33" t="s">
        <v>582</v>
      </c>
      <c r="C85" s="4" t="s">
        <v>583</v>
      </c>
      <c r="D85" s="19">
        <v>27276</v>
      </c>
      <c r="E85" s="46">
        <f t="shared" ca="1" si="8"/>
        <v>51.652292950034223</v>
      </c>
      <c r="F85" s="16" t="s">
        <v>584</v>
      </c>
      <c r="G85" s="14">
        <v>97470</v>
      </c>
      <c r="H85" s="4" t="s">
        <v>585</v>
      </c>
      <c r="I85" s="4"/>
      <c r="J85" s="4"/>
      <c r="K85" s="17" t="s">
        <v>586</v>
      </c>
      <c r="L85" s="17" t="s">
        <v>587</v>
      </c>
      <c r="M85" s="17" t="s">
        <v>588</v>
      </c>
      <c r="N85" s="17" t="s">
        <v>111</v>
      </c>
      <c r="O85" s="17" t="s">
        <v>64</v>
      </c>
      <c r="P85" s="17" t="s">
        <v>65</v>
      </c>
      <c r="Q85" s="4" t="s">
        <v>589</v>
      </c>
      <c r="R85" s="4" t="s">
        <v>67</v>
      </c>
      <c r="S85" s="4"/>
      <c r="T85" s="4" t="s">
        <v>68</v>
      </c>
      <c r="U85" s="17" t="s">
        <v>44</v>
      </c>
      <c r="V85" s="17" t="s">
        <v>45</v>
      </c>
      <c r="W85" s="17" t="s">
        <v>46</v>
      </c>
      <c r="X85" s="17" t="s">
        <v>47</v>
      </c>
      <c r="Y85" s="17" t="s">
        <v>48</v>
      </c>
      <c r="Z85" s="17" t="s">
        <v>49</v>
      </c>
      <c r="AA85" s="19">
        <v>45308</v>
      </c>
      <c r="AB85" s="19">
        <v>46404</v>
      </c>
      <c r="AC85" s="38">
        <v>111100685043</v>
      </c>
      <c r="AD85" s="19">
        <v>45478</v>
      </c>
      <c r="AE85" s="50"/>
      <c r="AF85" s="62">
        <v>46208</v>
      </c>
      <c r="AG85" s="335">
        <f t="shared" si="11"/>
        <v>46208</v>
      </c>
      <c r="AH85" s="108"/>
      <c r="AI85" s="134">
        <v>63.8</v>
      </c>
    </row>
    <row r="86" spans="1:35">
      <c r="A86" s="56"/>
      <c r="B86" s="33" t="s">
        <v>590</v>
      </c>
      <c r="C86" s="4" t="s">
        <v>369</v>
      </c>
      <c r="D86" s="19">
        <v>32160</v>
      </c>
      <c r="E86" s="46">
        <f t="shared" ca="1" si="8"/>
        <v>38.280629705681044</v>
      </c>
      <c r="F86" s="23" t="s">
        <v>591</v>
      </c>
      <c r="G86" s="14">
        <v>26750</v>
      </c>
      <c r="H86" s="4" t="s">
        <v>592</v>
      </c>
      <c r="I86" s="4"/>
      <c r="J86" s="4"/>
      <c r="K86" s="17" t="s">
        <v>593</v>
      </c>
      <c r="L86" s="17" t="s">
        <v>594</v>
      </c>
      <c r="M86" s="17" t="s">
        <v>595</v>
      </c>
      <c r="N86" s="17" t="s">
        <v>596</v>
      </c>
      <c r="O86" s="17" t="s">
        <v>64</v>
      </c>
      <c r="P86" s="17" t="s">
        <v>65</v>
      </c>
      <c r="Q86" s="4" t="s">
        <v>340</v>
      </c>
      <c r="R86" s="4" t="s">
        <v>67</v>
      </c>
      <c r="S86" s="17"/>
      <c r="T86" s="4" t="s">
        <v>68</v>
      </c>
      <c r="U86" s="17" t="s">
        <v>44</v>
      </c>
      <c r="V86" s="17" t="s">
        <v>45</v>
      </c>
      <c r="W86" s="17" t="s">
        <v>46</v>
      </c>
      <c r="X86" s="17" t="s">
        <v>47</v>
      </c>
      <c r="Y86" s="17" t="s">
        <v>48</v>
      </c>
      <c r="Z86" s="17" t="s">
        <v>49</v>
      </c>
      <c r="AA86" s="19">
        <v>45267</v>
      </c>
      <c r="AB86" s="19">
        <f>IF(AA86="","",AA86+365.25*3)</f>
        <v>46362.75</v>
      </c>
      <c r="AC86" s="38">
        <v>111100679996</v>
      </c>
      <c r="AD86" s="19">
        <v>45351</v>
      </c>
      <c r="AE86" s="50"/>
      <c r="AF86" s="62">
        <v>46824</v>
      </c>
      <c r="AG86" s="335">
        <f t="shared" si="11"/>
        <v>46362.75</v>
      </c>
      <c r="AH86" s="109"/>
      <c r="AI86" s="134">
        <v>63.8</v>
      </c>
    </row>
    <row r="87" spans="1:35">
      <c r="A87" s="56"/>
      <c r="B87" s="33" t="s">
        <v>597</v>
      </c>
      <c r="C87" s="4" t="s">
        <v>294</v>
      </c>
      <c r="D87" s="19">
        <v>30079</v>
      </c>
      <c r="E87" s="46">
        <f ca="1">IF(D87="","",($D$2-D87)/365.25)</f>
        <v>43.978097193702943</v>
      </c>
      <c r="F87" s="23" t="s">
        <v>598</v>
      </c>
      <c r="G87" s="14">
        <v>7290</v>
      </c>
      <c r="H87" s="4" t="s">
        <v>599</v>
      </c>
      <c r="I87" s="4"/>
      <c r="J87" s="4"/>
      <c r="K87" s="17" t="s">
        <v>600</v>
      </c>
      <c r="L87" s="17" t="s">
        <v>601</v>
      </c>
      <c r="M87" s="17" t="s">
        <v>602</v>
      </c>
      <c r="N87" s="17" t="s">
        <v>210</v>
      </c>
      <c r="O87" s="17" t="s">
        <v>64</v>
      </c>
      <c r="P87" s="17" t="s">
        <v>65</v>
      </c>
      <c r="Q87" s="4" t="s">
        <v>264</v>
      </c>
      <c r="R87" s="4" t="s">
        <v>67</v>
      </c>
      <c r="S87" s="17"/>
      <c r="T87" s="4" t="s">
        <v>68</v>
      </c>
      <c r="U87" s="17" t="s">
        <v>44</v>
      </c>
      <c r="V87" s="17" t="s">
        <v>45</v>
      </c>
      <c r="W87" s="17" t="s">
        <v>46</v>
      </c>
      <c r="X87" s="17" t="s">
        <v>47</v>
      </c>
      <c r="Y87" s="17" t="s">
        <v>48</v>
      </c>
      <c r="Z87" s="17" t="s">
        <v>49</v>
      </c>
      <c r="AA87" s="19">
        <v>45303</v>
      </c>
      <c r="AB87" s="19">
        <f>IF(AA87="","",AA87+365.25*3)</f>
        <v>46398.75</v>
      </c>
      <c r="AC87" s="38">
        <v>111100685434</v>
      </c>
      <c r="AD87" s="19">
        <v>45372</v>
      </c>
      <c r="AE87" s="50"/>
      <c r="AF87" s="62">
        <v>46261</v>
      </c>
      <c r="AG87" s="335">
        <f t="shared" si="11"/>
        <v>46261</v>
      </c>
      <c r="AH87" s="108"/>
      <c r="AI87" s="134">
        <v>63.8</v>
      </c>
    </row>
    <row r="88" spans="1:35">
      <c r="A88" s="56"/>
      <c r="B88" s="33" t="s">
        <v>603</v>
      </c>
      <c r="C88" s="4" t="s">
        <v>604</v>
      </c>
      <c r="D88" s="19">
        <v>28611</v>
      </c>
      <c r="E88" s="46">
        <f ca="1">IF(D88="","",($D$2-D88)/365.25)</f>
        <v>47.997262149212865</v>
      </c>
      <c r="F88" s="23" t="s">
        <v>605</v>
      </c>
      <c r="G88" s="14">
        <v>46500</v>
      </c>
      <c r="H88" s="4" t="s">
        <v>606</v>
      </c>
      <c r="I88" s="4"/>
      <c r="J88" s="4"/>
      <c r="K88" s="17" t="s">
        <v>607</v>
      </c>
      <c r="L88" s="17" t="s">
        <v>608</v>
      </c>
      <c r="M88" s="17" t="s">
        <v>609</v>
      </c>
      <c r="N88" s="17" t="s">
        <v>610</v>
      </c>
      <c r="O88" s="17" t="s">
        <v>64</v>
      </c>
      <c r="P88" s="17" t="s">
        <v>65</v>
      </c>
      <c r="Q88" s="4" t="s">
        <v>611</v>
      </c>
      <c r="R88" s="4" t="s">
        <v>67</v>
      </c>
      <c r="S88" s="17"/>
      <c r="T88" s="4" t="s">
        <v>68</v>
      </c>
      <c r="U88" s="17" t="s">
        <v>44</v>
      </c>
      <c r="V88" s="17" t="s">
        <v>45</v>
      </c>
      <c r="W88" s="17" t="s">
        <v>46</v>
      </c>
      <c r="X88" s="17" t="s">
        <v>47</v>
      </c>
      <c r="Y88" s="17" t="s">
        <v>48</v>
      </c>
      <c r="Z88" s="17" t="s">
        <v>49</v>
      </c>
      <c r="AA88" s="19">
        <v>45316</v>
      </c>
      <c r="AB88" s="19">
        <f t="shared" ref="AB88:AB95" si="18">IF(AA88="","",AA88+365.25*3)</f>
        <v>46411.75</v>
      </c>
      <c r="AC88" s="165">
        <v>111100685663</v>
      </c>
      <c r="AD88" s="50"/>
      <c r="AE88" s="19">
        <v>45337</v>
      </c>
      <c r="AF88" s="62">
        <v>46071</v>
      </c>
      <c r="AG88" s="335">
        <f t="shared" si="11"/>
        <v>46071</v>
      </c>
      <c r="AH88" s="382">
        <v>46044</v>
      </c>
      <c r="AI88" s="134">
        <v>63.8</v>
      </c>
    </row>
    <row r="89" spans="1:35">
      <c r="A89" s="56"/>
      <c r="B89" s="33" t="s">
        <v>612</v>
      </c>
      <c r="C89" s="4" t="s">
        <v>613</v>
      </c>
      <c r="D89" s="19">
        <v>34086</v>
      </c>
      <c r="E89" s="46">
        <f ca="1">IF(D89="","",($D$2-D89)/365.25)</f>
        <v>33.007529089664615</v>
      </c>
      <c r="F89" s="23" t="s">
        <v>614</v>
      </c>
      <c r="G89" s="14">
        <v>67840</v>
      </c>
      <c r="H89" s="4" t="s">
        <v>615</v>
      </c>
      <c r="I89" s="4"/>
      <c r="J89" s="4"/>
      <c r="K89" s="17" t="s">
        <v>616</v>
      </c>
      <c r="L89" s="17" t="s">
        <v>298</v>
      </c>
      <c r="M89" s="17" t="s">
        <v>617</v>
      </c>
      <c r="N89" s="17" t="s">
        <v>263</v>
      </c>
      <c r="O89" s="17" t="s">
        <v>64</v>
      </c>
      <c r="P89" s="17" t="s">
        <v>65</v>
      </c>
      <c r="Q89" s="4" t="s">
        <v>618</v>
      </c>
      <c r="R89" s="4" t="s">
        <v>67</v>
      </c>
      <c r="S89" s="17"/>
      <c r="T89" s="4" t="s">
        <v>68</v>
      </c>
      <c r="U89" s="17"/>
      <c r="V89" s="17"/>
      <c r="W89" s="17" t="s">
        <v>46</v>
      </c>
      <c r="X89" s="17" t="s">
        <v>47</v>
      </c>
      <c r="Y89" s="17"/>
      <c r="Z89" s="17"/>
      <c r="AA89" s="19">
        <v>45338</v>
      </c>
      <c r="AB89" s="19">
        <f t="shared" si="18"/>
        <v>46433.75</v>
      </c>
      <c r="AC89" s="165">
        <v>111100728272</v>
      </c>
      <c r="AD89" s="19">
        <v>46094</v>
      </c>
      <c r="AE89" s="50"/>
      <c r="AF89" s="62">
        <v>46888</v>
      </c>
      <c r="AG89" s="335">
        <f t="shared" si="11"/>
        <v>46433.75</v>
      </c>
      <c r="AH89" s="109"/>
      <c r="AI89" s="134">
        <v>64.75</v>
      </c>
    </row>
    <row r="90" spans="1:35">
      <c r="A90" s="56"/>
      <c r="B90" s="33" t="s">
        <v>619</v>
      </c>
      <c r="C90" s="4" t="s">
        <v>620</v>
      </c>
      <c r="D90" s="19">
        <v>24023</v>
      </c>
      <c r="E90" s="46">
        <f t="shared" ca="1" si="8"/>
        <v>60.558521560574945</v>
      </c>
      <c r="F90" s="23" t="s">
        <v>621</v>
      </c>
      <c r="G90" s="14">
        <v>62710</v>
      </c>
      <c r="H90" s="4" t="s">
        <v>622</v>
      </c>
      <c r="I90" s="4"/>
      <c r="J90" s="4"/>
      <c r="K90" s="17" t="s">
        <v>623</v>
      </c>
      <c r="L90" s="17" t="s">
        <v>624</v>
      </c>
      <c r="M90" s="17" t="s">
        <v>625</v>
      </c>
      <c r="N90" s="17" t="s">
        <v>78</v>
      </c>
      <c r="O90" s="17" t="s">
        <v>64</v>
      </c>
      <c r="P90" s="17" t="s">
        <v>65</v>
      </c>
      <c r="Q90" s="4" t="s">
        <v>626</v>
      </c>
      <c r="R90" s="4" t="s">
        <v>67</v>
      </c>
      <c r="S90" s="17"/>
      <c r="T90" s="4" t="s">
        <v>68</v>
      </c>
      <c r="U90" s="17" t="s">
        <v>44</v>
      </c>
      <c r="V90" s="17" t="s">
        <v>45</v>
      </c>
      <c r="W90" s="17" t="s">
        <v>46</v>
      </c>
      <c r="X90" s="17" t="s">
        <v>47</v>
      </c>
      <c r="Y90" s="17" t="s">
        <v>48</v>
      </c>
      <c r="Z90" s="17" t="s">
        <v>49</v>
      </c>
      <c r="AA90" s="19">
        <v>45303</v>
      </c>
      <c r="AB90" s="19">
        <f t="shared" si="18"/>
        <v>46398.75</v>
      </c>
      <c r="AC90" s="38">
        <v>111100685031</v>
      </c>
      <c r="AD90" s="50"/>
      <c r="AE90" s="19">
        <v>46045</v>
      </c>
      <c r="AF90" s="62">
        <v>46775</v>
      </c>
      <c r="AG90" s="335">
        <f t="shared" si="11"/>
        <v>46398.75</v>
      </c>
      <c r="AH90" s="382"/>
      <c r="AI90" s="134">
        <v>63.8</v>
      </c>
    </row>
    <row r="91" spans="1:35">
      <c r="A91" s="56"/>
      <c r="B91" s="33" t="s">
        <v>627</v>
      </c>
      <c r="C91" s="4" t="s">
        <v>628</v>
      </c>
      <c r="D91" s="19">
        <v>26418</v>
      </c>
      <c r="E91" s="46">
        <f t="shared" ca="1" si="8"/>
        <v>54.001368925393564</v>
      </c>
      <c r="F91" s="23" t="s">
        <v>629</v>
      </c>
      <c r="G91" s="14">
        <v>13600</v>
      </c>
      <c r="H91" s="4" t="s">
        <v>630</v>
      </c>
      <c r="I91" s="4"/>
      <c r="J91" s="4"/>
      <c r="K91" s="17" t="s">
        <v>631</v>
      </c>
      <c r="L91" s="17" t="s">
        <v>632</v>
      </c>
      <c r="M91" s="17" t="s">
        <v>633</v>
      </c>
      <c r="N91" s="17" t="s">
        <v>634</v>
      </c>
      <c r="O91" s="17" t="s">
        <v>64</v>
      </c>
      <c r="P91" s="17" t="s">
        <v>65</v>
      </c>
      <c r="Q91" s="4" t="s">
        <v>150</v>
      </c>
      <c r="R91" s="4" t="s">
        <v>67</v>
      </c>
      <c r="S91" s="17"/>
      <c r="T91" s="4" t="s">
        <v>68</v>
      </c>
      <c r="U91" s="17"/>
      <c r="V91" s="17"/>
      <c r="W91" s="17" t="s">
        <v>46</v>
      </c>
      <c r="X91" s="17" t="s">
        <v>47</v>
      </c>
      <c r="Y91" s="17"/>
      <c r="Z91" s="17"/>
      <c r="AA91" s="19">
        <v>45530</v>
      </c>
      <c r="AB91" s="19">
        <f>IF(AA91="","",AA91+365.25*3)</f>
        <v>46625.75</v>
      </c>
      <c r="AC91" s="38">
        <v>111200396249</v>
      </c>
      <c r="AD91" s="19">
        <v>45575</v>
      </c>
      <c r="AE91" s="50"/>
      <c r="AF91" s="62">
        <v>46305</v>
      </c>
      <c r="AG91" s="335">
        <f t="shared" si="11"/>
        <v>46305</v>
      </c>
      <c r="AH91" s="108"/>
      <c r="AI91">
        <v>64.75</v>
      </c>
    </row>
    <row r="92" spans="1:35">
      <c r="A92" s="56"/>
      <c r="B92" s="33" t="s">
        <v>635</v>
      </c>
      <c r="C92" s="4" t="s">
        <v>636</v>
      </c>
      <c r="D92" s="19">
        <v>28011</v>
      </c>
      <c r="E92" s="46">
        <f t="shared" ca="1" si="8"/>
        <v>49.639972621492127</v>
      </c>
      <c r="F92" s="16" t="s">
        <v>637</v>
      </c>
      <c r="G92" s="14">
        <v>91940</v>
      </c>
      <c r="H92" s="4" t="s">
        <v>638</v>
      </c>
      <c r="I92" s="4"/>
      <c r="J92" s="4"/>
      <c r="K92" s="17" t="s">
        <v>639</v>
      </c>
      <c r="L92" s="17" t="s">
        <v>601</v>
      </c>
      <c r="M92" s="17" t="s">
        <v>640</v>
      </c>
      <c r="N92" s="17" t="s">
        <v>641</v>
      </c>
      <c r="O92" s="17" t="s">
        <v>64</v>
      </c>
      <c r="P92" s="17" t="s">
        <v>190</v>
      </c>
      <c r="Q92" s="4" t="s">
        <v>642</v>
      </c>
      <c r="R92" s="4" t="s">
        <v>67</v>
      </c>
      <c r="S92" s="4"/>
      <c r="T92" s="4" t="s">
        <v>68</v>
      </c>
      <c r="U92" s="17" t="s">
        <v>44</v>
      </c>
      <c r="V92" s="17" t="s">
        <v>45</v>
      </c>
      <c r="W92" s="17" t="s">
        <v>46</v>
      </c>
      <c r="X92" s="17" t="s">
        <v>47</v>
      </c>
      <c r="Y92" s="17" t="s">
        <v>48</v>
      </c>
      <c r="Z92" s="17" t="s">
        <v>49</v>
      </c>
      <c r="AA92" s="19">
        <v>45300</v>
      </c>
      <c r="AB92" s="19">
        <f t="shared" si="18"/>
        <v>46395.75</v>
      </c>
      <c r="AC92" s="38">
        <v>111100681416</v>
      </c>
      <c r="AD92" s="50"/>
      <c r="AE92" s="19">
        <v>46083</v>
      </c>
      <c r="AF92" s="62">
        <v>46814</v>
      </c>
      <c r="AG92" s="335">
        <f t="shared" si="11"/>
        <v>46395.75</v>
      </c>
      <c r="AH92" s="382"/>
      <c r="AI92" s="134">
        <v>63.8</v>
      </c>
    </row>
    <row r="93" spans="1:35">
      <c r="A93" s="148"/>
      <c r="B93" s="285" t="s">
        <v>643</v>
      </c>
      <c r="C93" s="108" t="s">
        <v>369</v>
      </c>
      <c r="D93" s="109">
        <v>29392</v>
      </c>
      <c r="E93" s="94">
        <f ca="1">IF(D93="","",($D$2-D93)/365.25)</f>
        <v>45.8590006844627</v>
      </c>
      <c r="F93" s="110" t="s">
        <v>644</v>
      </c>
      <c r="G93" s="111">
        <v>31500</v>
      </c>
      <c r="H93" s="108" t="s">
        <v>645</v>
      </c>
      <c r="I93" s="108"/>
      <c r="J93" s="372"/>
      <c r="K93" s="112" t="s">
        <v>646</v>
      </c>
      <c r="L93" s="112" t="s">
        <v>289</v>
      </c>
      <c r="M93" s="112" t="s">
        <v>647</v>
      </c>
      <c r="N93" s="112" t="s">
        <v>648</v>
      </c>
      <c r="O93" s="112" t="s">
        <v>64</v>
      </c>
      <c r="P93" s="112" t="s">
        <v>190</v>
      </c>
      <c r="Q93" s="108" t="s">
        <v>649</v>
      </c>
      <c r="R93" s="108" t="s">
        <v>67</v>
      </c>
      <c r="S93" s="108"/>
      <c r="T93" s="69" t="s">
        <v>68</v>
      </c>
      <c r="U93" s="17"/>
      <c r="V93" s="17"/>
      <c r="W93" s="17" t="s">
        <v>46</v>
      </c>
      <c r="X93" s="17" t="s">
        <v>47</v>
      </c>
      <c r="Y93" s="17"/>
      <c r="Z93" s="17"/>
      <c r="AA93" s="19">
        <v>46003</v>
      </c>
      <c r="AB93" s="30">
        <v>47099</v>
      </c>
      <c r="AC93" s="38">
        <v>111200398905</v>
      </c>
      <c r="AD93" s="19">
        <v>46072</v>
      </c>
      <c r="AE93" s="50"/>
      <c r="AF93" s="62">
        <v>46802</v>
      </c>
      <c r="AG93" s="335">
        <f t="shared" si="11"/>
        <v>46802</v>
      </c>
      <c r="AH93" s="108"/>
      <c r="AI93">
        <v>67.25</v>
      </c>
    </row>
    <row r="94" spans="1:35">
      <c r="A94" s="56"/>
      <c r="B94" s="33" t="s">
        <v>650</v>
      </c>
      <c r="C94" s="4" t="s">
        <v>342</v>
      </c>
      <c r="D94" s="19">
        <v>24605</v>
      </c>
      <c r="E94" s="46">
        <f ca="1">IF(D94="","",($D$2-D94)/365.25)</f>
        <v>58.965092402464066</v>
      </c>
      <c r="F94" s="16" t="s">
        <v>651</v>
      </c>
      <c r="G94" s="14">
        <v>41100</v>
      </c>
      <c r="H94" s="4" t="s">
        <v>652</v>
      </c>
      <c r="I94" s="4"/>
      <c r="J94" s="4"/>
      <c r="K94" s="17" t="s">
        <v>653</v>
      </c>
      <c r="L94" s="17" t="s">
        <v>440</v>
      </c>
      <c r="M94" s="17" t="s">
        <v>654</v>
      </c>
      <c r="N94" s="17" t="s">
        <v>655</v>
      </c>
      <c r="O94" s="17" t="s">
        <v>64</v>
      </c>
      <c r="P94" s="17" t="s">
        <v>65</v>
      </c>
      <c r="Q94" s="4" t="s">
        <v>656</v>
      </c>
      <c r="R94" s="4" t="s">
        <v>67</v>
      </c>
      <c r="S94" s="4"/>
      <c r="T94" s="4" t="s">
        <v>68</v>
      </c>
      <c r="U94" s="17"/>
      <c r="V94" s="17"/>
      <c r="W94" s="17" t="s">
        <v>46</v>
      </c>
      <c r="X94" s="17" t="s">
        <v>47</v>
      </c>
      <c r="Y94" s="17"/>
      <c r="Z94" s="17"/>
      <c r="AA94" s="19">
        <v>45372</v>
      </c>
      <c r="AB94" s="19">
        <f t="shared" si="18"/>
        <v>46467.75</v>
      </c>
      <c r="AC94" s="38">
        <v>111200395548</v>
      </c>
      <c r="AD94" s="50"/>
      <c r="AE94" s="19">
        <v>45415</v>
      </c>
      <c r="AF94" s="62">
        <v>46148</v>
      </c>
      <c r="AG94" s="335">
        <f t="shared" si="11"/>
        <v>46148</v>
      </c>
      <c r="AH94" s="108" t="s">
        <v>367</v>
      </c>
      <c r="AI94" s="134">
        <v>64.75</v>
      </c>
    </row>
    <row r="95" spans="1:35">
      <c r="A95" s="56"/>
      <c r="B95" s="33" t="s">
        <v>657</v>
      </c>
      <c r="C95" s="4" t="s">
        <v>613</v>
      </c>
      <c r="D95" s="19">
        <v>26321</v>
      </c>
      <c r="E95" s="46">
        <f t="shared" ca="1" si="8"/>
        <v>54.266940451745377</v>
      </c>
      <c r="F95" s="16" t="s">
        <v>658</v>
      </c>
      <c r="G95" s="14">
        <v>80250</v>
      </c>
      <c r="H95" s="4" t="s">
        <v>478</v>
      </c>
      <c r="I95" s="4"/>
      <c r="J95" s="4"/>
      <c r="K95" s="17" t="s">
        <v>659</v>
      </c>
      <c r="L95" s="17" t="s">
        <v>660</v>
      </c>
      <c r="M95" s="17" t="s">
        <v>661</v>
      </c>
      <c r="N95" s="17" t="s">
        <v>662</v>
      </c>
      <c r="O95" s="17" t="s">
        <v>64</v>
      </c>
      <c r="P95" s="17" t="s">
        <v>190</v>
      </c>
      <c r="Q95" s="4" t="s">
        <v>663</v>
      </c>
      <c r="R95" s="4" t="s">
        <v>67</v>
      </c>
      <c r="S95" s="4"/>
      <c r="T95" s="4" t="s">
        <v>68</v>
      </c>
      <c r="U95" s="17" t="s">
        <v>44</v>
      </c>
      <c r="V95" s="17" t="s">
        <v>45</v>
      </c>
      <c r="W95" s="17" t="s">
        <v>46</v>
      </c>
      <c r="X95" s="17" t="s">
        <v>47</v>
      </c>
      <c r="Y95" s="17" t="s">
        <v>48</v>
      </c>
      <c r="Z95" s="17" t="s">
        <v>49</v>
      </c>
      <c r="AA95" s="19">
        <v>45275</v>
      </c>
      <c r="AB95" s="19">
        <f t="shared" si="18"/>
        <v>46370.75</v>
      </c>
      <c r="AC95" s="38">
        <v>111100681578</v>
      </c>
      <c r="AD95" s="160"/>
      <c r="AE95" s="19">
        <v>46059</v>
      </c>
      <c r="AF95" s="62">
        <v>46799</v>
      </c>
      <c r="AG95" s="335">
        <f t="shared" si="11"/>
        <v>46370.75</v>
      </c>
      <c r="AH95" s="109"/>
      <c r="AI95" s="134">
        <v>63.8</v>
      </c>
    </row>
    <row r="96" spans="1:35">
      <c r="A96" s="266"/>
      <c r="B96" s="206" t="s">
        <v>664</v>
      </c>
      <c r="C96" s="173" t="s">
        <v>489</v>
      </c>
      <c r="D96" s="170">
        <v>24848</v>
      </c>
      <c r="E96" s="171">
        <f t="shared" ref="E96:E100" ca="1" si="19">IF(D96="","",($D$2-D96)/365.25)</f>
        <v>58.299794661190965</v>
      </c>
      <c r="F96" s="153" t="s">
        <v>665</v>
      </c>
      <c r="G96" s="172">
        <v>77730</v>
      </c>
      <c r="H96" s="173" t="s">
        <v>666</v>
      </c>
      <c r="I96" s="173"/>
      <c r="J96" s="173"/>
      <c r="K96" s="174" t="s">
        <v>667</v>
      </c>
      <c r="L96" s="174" t="s">
        <v>668</v>
      </c>
      <c r="M96" s="174" t="s">
        <v>669</v>
      </c>
      <c r="N96" s="174" t="s">
        <v>670</v>
      </c>
      <c r="O96" s="174" t="s">
        <v>64</v>
      </c>
      <c r="P96" s="174" t="s">
        <v>65</v>
      </c>
      <c r="Q96" s="173" t="s">
        <v>121</v>
      </c>
      <c r="R96" s="173" t="s">
        <v>67</v>
      </c>
      <c r="S96" s="173"/>
      <c r="T96" s="173" t="s">
        <v>68</v>
      </c>
      <c r="U96" s="174" t="s">
        <v>44</v>
      </c>
      <c r="V96" s="174" t="s">
        <v>45</v>
      </c>
      <c r="W96" s="174" t="s">
        <v>46</v>
      </c>
      <c r="X96" s="174" t="s">
        <v>47</v>
      </c>
      <c r="Y96" s="174" t="s">
        <v>48</v>
      </c>
      <c r="Z96" s="174" t="s">
        <v>49</v>
      </c>
      <c r="AA96" s="170">
        <v>45318</v>
      </c>
      <c r="AB96" s="170">
        <f>IF(AA96="","",AA96+365.25*3)</f>
        <v>46413.75</v>
      </c>
      <c r="AC96" s="200">
        <v>111100686857</v>
      </c>
      <c r="AD96" s="160"/>
      <c r="AE96" s="253"/>
      <c r="AF96" s="19"/>
      <c r="AG96" s="335">
        <f t="shared" si="11"/>
        <v>46413.75</v>
      </c>
      <c r="AH96" s="108"/>
      <c r="AI96" s="134">
        <v>63.8</v>
      </c>
    </row>
    <row r="97" spans="1:35">
      <c r="A97" s="148"/>
      <c r="B97" s="179" t="s">
        <v>671</v>
      </c>
      <c r="C97" s="108" t="s">
        <v>276</v>
      </c>
      <c r="D97" s="109">
        <v>37845</v>
      </c>
      <c r="E97" s="276">
        <f t="shared" ca="1" si="19"/>
        <v>22.715947980835043</v>
      </c>
      <c r="F97" s="110" t="s">
        <v>672</v>
      </c>
      <c r="G97" s="111">
        <v>77340</v>
      </c>
      <c r="H97" s="108" t="s">
        <v>452</v>
      </c>
      <c r="I97" s="108"/>
      <c r="J97" s="108"/>
      <c r="K97" s="112" t="s">
        <v>673</v>
      </c>
      <c r="L97" s="112" t="s">
        <v>674</v>
      </c>
      <c r="M97" s="112" t="s">
        <v>675</v>
      </c>
      <c r="N97" s="112" t="s">
        <v>676</v>
      </c>
      <c r="O97" s="112" t="s">
        <v>64</v>
      </c>
      <c r="P97" s="112" t="s">
        <v>65</v>
      </c>
      <c r="Q97" s="108" t="s">
        <v>677</v>
      </c>
      <c r="R97" s="108" t="s">
        <v>67</v>
      </c>
      <c r="S97" s="108"/>
      <c r="T97" s="108" t="s">
        <v>68</v>
      </c>
      <c r="U97" s="112"/>
      <c r="V97" s="112"/>
      <c r="W97" s="112" t="s">
        <v>46</v>
      </c>
      <c r="X97" s="112" t="s">
        <v>47</v>
      </c>
      <c r="Y97" s="112"/>
      <c r="Z97" s="112"/>
      <c r="AA97" s="109">
        <v>45774</v>
      </c>
      <c r="AB97" s="170">
        <f>IF(AA97="","",AA97+365.25*3)</f>
        <v>46869.75</v>
      </c>
      <c r="AC97" s="200">
        <v>111200397419</v>
      </c>
      <c r="AD97" s="109">
        <v>45832</v>
      </c>
      <c r="AE97" s="50"/>
      <c r="AF97" s="146">
        <v>46562</v>
      </c>
      <c r="AG97" s="335">
        <f t="shared" si="11"/>
        <v>46562</v>
      </c>
      <c r="AH97" s="108"/>
      <c r="AI97">
        <v>67.25</v>
      </c>
    </row>
    <row r="98" spans="1:35">
      <c r="A98" s="56"/>
      <c r="B98" s="33" t="s">
        <v>678</v>
      </c>
      <c r="C98" s="4" t="s">
        <v>679</v>
      </c>
      <c r="D98" s="19">
        <v>35391</v>
      </c>
      <c r="E98" s="46">
        <f t="shared" ca="1" si="19"/>
        <v>29.434633812457221</v>
      </c>
      <c r="F98" s="16" t="s">
        <v>680</v>
      </c>
      <c r="G98" s="14" t="s">
        <v>681</v>
      </c>
      <c r="H98" s="4" t="s">
        <v>682</v>
      </c>
      <c r="I98" s="4"/>
      <c r="J98" s="4"/>
      <c r="K98" s="17" t="s">
        <v>683</v>
      </c>
      <c r="L98" s="17" t="s">
        <v>684</v>
      </c>
      <c r="M98" s="17" t="s">
        <v>685</v>
      </c>
      <c r="N98" s="17" t="s">
        <v>686</v>
      </c>
      <c r="O98" s="17" t="s">
        <v>64</v>
      </c>
      <c r="P98" s="17" t="s">
        <v>65</v>
      </c>
      <c r="Q98" s="4" t="s">
        <v>687</v>
      </c>
      <c r="R98" s="4" t="s">
        <v>67</v>
      </c>
      <c r="S98" s="4"/>
      <c r="T98" s="4" t="s">
        <v>68</v>
      </c>
      <c r="U98" s="17"/>
      <c r="V98" s="17"/>
      <c r="W98" s="17" t="s">
        <v>46</v>
      </c>
      <c r="X98" s="17" t="s">
        <v>47</v>
      </c>
      <c r="Y98" s="17"/>
      <c r="Z98" s="17"/>
      <c r="AA98" s="19">
        <v>45437</v>
      </c>
      <c r="AB98" s="19">
        <v>46532</v>
      </c>
      <c r="AC98" s="38">
        <v>111200395859</v>
      </c>
      <c r="AD98" s="19">
        <v>45478</v>
      </c>
      <c r="AE98" s="50"/>
      <c r="AF98" s="62">
        <v>46208</v>
      </c>
      <c r="AG98" s="335">
        <f t="shared" si="11"/>
        <v>46208</v>
      </c>
      <c r="AH98" s="108"/>
      <c r="AI98" s="134">
        <v>64.75</v>
      </c>
    </row>
    <row r="99" spans="1:35">
      <c r="A99" s="261"/>
      <c r="B99" s="262" t="s">
        <v>688</v>
      </c>
      <c r="C99" s="254" t="s">
        <v>689</v>
      </c>
      <c r="D99" s="251">
        <v>32624</v>
      </c>
      <c r="E99" s="255">
        <f t="shared" ca="1" si="19"/>
        <v>37.010266940451743</v>
      </c>
      <c r="F99" s="256" t="s">
        <v>690</v>
      </c>
      <c r="G99" s="257">
        <v>93130</v>
      </c>
      <c r="H99" s="254" t="s">
        <v>691</v>
      </c>
      <c r="I99" s="254"/>
      <c r="J99" s="254"/>
      <c r="K99" s="258" t="s">
        <v>692</v>
      </c>
      <c r="L99" s="258" t="s">
        <v>632</v>
      </c>
      <c r="M99" s="258" t="s">
        <v>693</v>
      </c>
      <c r="N99" s="258" t="s">
        <v>366</v>
      </c>
      <c r="O99" s="258" t="s">
        <v>64</v>
      </c>
      <c r="P99" s="258" t="s">
        <v>65</v>
      </c>
      <c r="Q99" s="254" t="s">
        <v>121</v>
      </c>
      <c r="R99" s="254" t="s">
        <v>67</v>
      </c>
      <c r="S99" s="254"/>
      <c r="T99" s="254" t="s">
        <v>68</v>
      </c>
      <c r="U99" s="258"/>
      <c r="V99" s="258"/>
      <c r="W99" s="258" t="s">
        <v>46</v>
      </c>
      <c r="X99" s="258" t="s">
        <v>47</v>
      </c>
      <c r="Y99" s="258"/>
      <c r="Z99" s="258"/>
      <c r="AA99" s="251">
        <v>45719</v>
      </c>
      <c r="AB99" s="251">
        <f>IF(AA99="","",AA99+365.25*3)</f>
        <v>46814.75</v>
      </c>
      <c r="AC99" s="259">
        <v>111200397159</v>
      </c>
      <c r="AD99" s="252"/>
      <c r="AE99" s="251">
        <v>45722</v>
      </c>
      <c r="AF99" s="260">
        <v>46464</v>
      </c>
      <c r="AG99" s="335">
        <f t="shared" si="11"/>
        <v>46464</v>
      </c>
      <c r="AH99" s="108"/>
      <c r="AI99" s="265">
        <v>63.8</v>
      </c>
    </row>
    <row r="100" spans="1:35">
      <c r="A100" s="56"/>
      <c r="B100" s="33" t="s">
        <v>694</v>
      </c>
      <c r="C100" s="4" t="s">
        <v>489</v>
      </c>
      <c r="D100" s="19">
        <v>25425</v>
      </c>
      <c r="E100" s="46">
        <f t="shared" ca="1" si="19"/>
        <v>56.720054757015745</v>
      </c>
      <c r="F100" s="16" t="s">
        <v>695</v>
      </c>
      <c r="G100" s="14">
        <v>13490</v>
      </c>
      <c r="H100" s="4" t="s">
        <v>696</v>
      </c>
      <c r="I100" s="4"/>
      <c r="J100" s="4"/>
      <c r="K100" s="17" t="s">
        <v>697</v>
      </c>
      <c r="L100" s="17" t="s">
        <v>698</v>
      </c>
      <c r="M100" s="17" t="s">
        <v>699</v>
      </c>
      <c r="N100" s="17" t="s">
        <v>700</v>
      </c>
      <c r="O100" s="17" t="s">
        <v>64</v>
      </c>
      <c r="P100" s="17" t="s">
        <v>190</v>
      </c>
      <c r="Q100" s="4" t="s">
        <v>701</v>
      </c>
      <c r="R100" s="4" t="s">
        <v>67</v>
      </c>
      <c r="S100" s="4"/>
      <c r="T100" s="4" t="s">
        <v>68</v>
      </c>
      <c r="U100" s="17" t="s">
        <v>44</v>
      </c>
      <c r="V100" s="17" t="s">
        <v>45</v>
      </c>
      <c r="W100" s="17" t="s">
        <v>46</v>
      </c>
      <c r="X100" s="17" t="s">
        <v>47</v>
      </c>
      <c r="Y100" s="17" t="s">
        <v>48</v>
      </c>
      <c r="Z100" s="17" t="s">
        <v>49</v>
      </c>
      <c r="AA100" s="19">
        <v>45299</v>
      </c>
      <c r="AB100" s="19">
        <v>46394</v>
      </c>
      <c r="AC100" s="38">
        <v>111100712254</v>
      </c>
      <c r="AD100" s="50"/>
      <c r="AE100" s="164">
        <v>45347</v>
      </c>
      <c r="AF100" s="62">
        <v>46078</v>
      </c>
      <c r="AG100" s="335">
        <f t="shared" si="11"/>
        <v>46078</v>
      </c>
      <c r="AH100" s="108" t="s">
        <v>367</v>
      </c>
      <c r="AI100" s="134">
        <v>63.8</v>
      </c>
    </row>
    <row r="101" spans="1:35">
      <c r="A101" s="56"/>
      <c r="B101" s="33" t="s">
        <v>702</v>
      </c>
      <c r="C101" s="4" t="s">
        <v>703</v>
      </c>
      <c r="D101" s="19">
        <v>29306</v>
      </c>
      <c r="E101" s="46">
        <f t="shared" ca="1" si="8"/>
        <v>46.094455852156059</v>
      </c>
      <c r="F101" s="16" t="s">
        <v>704</v>
      </c>
      <c r="G101" s="14">
        <v>54110</v>
      </c>
      <c r="H101" s="4" t="s">
        <v>705</v>
      </c>
      <c r="I101" s="4"/>
      <c r="J101" s="4"/>
      <c r="K101" s="17" t="s">
        <v>706</v>
      </c>
      <c r="L101" s="17" t="s">
        <v>707</v>
      </c>
      <c r="M101" s="17" t="s">
        <v>708</v>
      </c>
      <c r="N101" s="17" t="s">
        <v>709</v>
      </c>
      <c r="O101" s="17" t="s">
        <v>64</v>
      </c>
      <c r="P101" s="17" t="s">
        <v>65</v>
      </c>
      <c r="Q101" s="4" t="s">
        <v>101</v>
      </c>
      <c r="R101" s="4" t="s">
        <v>67</v>
      </c>
      <c r="S101" s="4"/>
      <c r="T101" s="4" t="s">
        <v>68</v>
      </c>
      <c r="U101" s="17" t="s">
        <v>44</v>
      </c>
      <c r="V101" s="17"/>
      <c r="W101" s="17" t="s">
        <v>46</v>
      </c>
      <c r="X101" s="17" t="s">
        <v>47</v>
      </c>
      <c r="Y101" s="17"/>
      <c r="Z101" s="17"/>
      <c r="AA101" s="19">
        <v>45336</v>
      </c>
      <c r="AB101" s="19">
        <f>IF(AA101="","",AA101+365.25*3)</f>
        <v>46431.75</v>
      </c>
      <c r="AC101" s="38">
        <v>111100690912</v>
      </c>
      <c r="AD101" s="19">
        <v>45582</v>
      </c>
      <c r="AE101" s="50"/>
      <c r="AF101" s="62">
        <v>46312</v>
      </c>
      <c r="AG101" s="335">
        <f t="shared" si="11"/>
        <v>46312</v>
      </c>
      <c r="AH101" s="108"/>
      <c r="AI101" s="134">
        <v>64.75</v>
      </c>
    </row>
    <row r="102" spans="1:35">
      <c r="A102" s="56"/>
      <c r="B102" s="33" t="s">
        <v>710</v>
      </c>
      <c r="C102" s="4" t="s">
        <v>711</v>
      </c>
      <c r="D102" s="19">
        <v>34348</v>
      </c>
      <c r="E102" s="46">
        <f t="shared" ref="E102:E107" ca="1" si="20">IF(D102="","",($D$2-D102)/365.25)</f>
        <v>32.290212183436005</v>
      </c>
      <c r="F102" s="16" t="s">
        <v>712</v>
      </c>
      <c r="G102" s="14">
        <v>93240</v>
      </c>
      <c r="H102" s="4" t="s">
        <v>713</v>
      </c>
      <c r="I102" s="4"/>
      <c r="J102" s="4"/>
      <c r="K102" s="17" t="s">
        <v>714</v>
      </c>
      <c r="L102" s="17" t="s">
        <v>20</v>
      </c>
      <c r="M102" s="17" t="s">
        <v>715</v>
      </c>
      <c r="N102" s="17" t="s">
        <v>716</v>
      </c>
      <c r="O102" s="17" t="s">
        <v>64</v>
      </c>
      <c r="P102" s="17" t="s">
        <v>65</v>
      </c>
      <c r="Q102" s="4" t="s">
        <v>717</v>
      </c>
      <c r="R102" s="4" t="s">
        <v>67</v>
      </c>
      <c r="S102" s="4"/>
      <c r="T102" s="4" t="s">
        <v>68</v>
      </c>
      <c r="U102" s="17"/>
      <c r="V102" s="17"/>
      <c r="W102" s="17" t="s">
        <v>46</v>
      </c>
      <c r="X102" s="17" t="s">
        <v>47</v>
      </c>
      <c r="Y102" s="17"/>
      <c r="Z102" s="17"/>
      <c r="AA102" s="19">
        <v>45434</v>
      </c>
      <c r="AB102" s="19">
        <f>IF(AA102="","",AA102+365.25*3)</f>
        <v>46529.75</v>
      </c>
      <c r="AC102" s="38">
        <v>111200365936</v>
      </c>
      <c r="AD102" s="19">
        <v>45482</v>
      </c>
      <c r="AE102" s="50"/>
      <c r="AF102" s="62">
        <v>46212</v>
      </c>
      <c r="AG102" s="335">
        <f t="shared" si="11"/>
        <v>46212</v>
      </c>
      <c r="AH102" s="108"/>
      <c r="AI102" s="134">
        <v>64.75</v>
      </c>
    </row>
    <row r="103" spans="1:35">
      <c r="A103" s="56"/>
      <c r="B103" s="33" t="s">
        <v>718</v>
      </c>
      <c r="C103" s="4" t="s">
        <v>364</v>
      </c>
      <c r="D103" s="19">
        <v>26220</v>
      </c>
      <c r="E103" s="46">
        <f t="shared" ca="1" si="20"/>
        <v>54.543463381245722</v>
      </c>
      <c r="F103" s="16" t="s">
        <v>719</v>
      </c>
      <c r="G103" s="14">
        <v>31100</v>
      </c>
      <c r="H103" s="4" t="s">
        <v>645</v>
      </c>
      <c r="I103" s="4"/>
      <c r="J103" s="4"/>
      <c r="K103" s="17" t="s">
        <v>720</v>
      </c>
      <c r="L103" s="17" t="s">
        <v>613</v>
      </c>
      <c r="M103" s="17" t="s">
        <v>721</v>
      </c>
      <c r="N103" s="17" t="s">
        <v>722</v>
      </c>
      <c r="O103" s="17" t="s">
        <v>64</v>
      </c>
      <c r="P103" s="175" t="s">
        <v>65</v>
      </c>
      <c r="Q103" s="4" t="s">
        <v>723</v>
      </c>
      <c r="R103" s="4" t="s">
        <v>67</v>
      </c>
      <c r="S103" s="4"/>
      <c r="T103" s="4" t="s">
        <v>68</v>
      </c>
      <c r="U103" s="17"/>
      <c r="V103" s="17"/>
      <c r="W103" s="17" t="s">
        <v>46</v>
      </c>
      <c r="X103" s="17" t="s">
        <v>47</v>
      </c>
      <c r="Y103" s="17"/>
      <c r="Z103" s="17"/>
      <c r="AA103" s="19">
        <v>45573</v>
      </c>
      <c r="AB103" s="19">
        <f>IF(AA103="","",AA103+365.25*3)</f>
        <v>46668.75</v>
      </c>
      <c r="AC103" s="38">
        <v>111200396519</v>
      </c>
      <c r="AD103" s="19">
        <v>45608</v>
      </c>
      <c r="AE103" s="85"/>
      <c r="AF103" s="62">
        <v>46368</v>
      </c>
      <c r="AG103" s="335">
        <f t="shared" si="11"/>
        <v>46368</v>
      </c>
      <c r="AH103" s="108"/>
      <c r="AI103">
        <v>64.75</v>
      </c>
    </row>
    <row r="104" spans="1:35">
      <c r="A104" s="289"/>
      <c r="B104" s="32" t="s">
        <v>724</v>
      </c>
      <c r="C104" s="9" t="s">
        <v>725</v>
      </c>
      <c r="D104" s="30">
        <v>33393</v>
      </c>
      <c r="E104" s="87">
        <f t="shared" ca="1" si="20"/>
        <v>34.904859685147159</v>
      </c>
      <c r="F104" s="88" t="s">
        <v>726</v>
      </c>
      <c r="G104" s="89">
        <v>7300</v>
      </c>
      <c r="H104" s="9" t="s">
        <v>727</v>
      </c>
      <c r="I104" s="9"/>
      <c r="J104" s="9"/>
      <c r="K104" s="25" t="s">
        <v>570</v>
      </c>
      <c r="L104" s="25" t="s">
        <v>728</v>
      </c>
      <c r="M104" s="25" t="s">
        <v>729</v>
      </c>
      <c r="N104" s="25" t="s">
        <v>215</v>
      </c>
      <c r="O104" s="25" t="s">
        <v>64</v>
      </c>
      <c r="P104" s="25" t="s">
        <v>65</v>
      </c>
      <c r="Q104" s="9" t="s">
        <v>730</v>
      </c>
      <c r="R104" s="9" t="s">
        <v>67</v>
      </c>
      <c r="S104" s="9"/>
      <c r="T104" s="9" t="s">
        <v>68</v>
      </c>
      <c r="U104" s="25"/>
      <c r="V104" s="25"/>
      <c r="W104" s="25" t="s">
        <v>46</v>
      </c>
      <c r="X104" s="25" t="s">
        <v>47</v>
      </c>
      <c r="Y104" s="25"/>
      <c r="Z104" s="25"/>
      <c r="AA104" s="30">
        <v>45756</v>
      </c>
      <c r="AB104" s="30">
        <f>IF(AA104="","",AA104+365.25*3)</f>
        <v>46851.75</v>
      </c>
      <c r="AC104" s="123">
        <v>111200397356</v>
      </c>
      <c r="AD104" s="298"/>
      <c r="AE104" s="290"/>
      <c r="AF104" s="123"/>
      <c r="AG104" s="335">
        <f t="shared" si="11"/>
        <v>46851.75</v>
      </c>
      <c r="AH104" s="108"/>
      <c r="AI104">
        <v>67.25</v>
      </c>
    </row>
    <row r="105" spans="1:35">
      <c r="A105" s="271"/>
      <c r="B105" s="285" t="s">
        <v>26</v>
      </c>
      <c r="C105" s="108" t="s">
        <v>27</v>
      </c>
      <c r="D105" s="109">
        <v>31813</v>
      </c>
      <c r="E105" s="94">
        <f t="shared" ca="1" si="20"/>
        <v>39.230663928815879</v>
      </c>
      <c r="F105" s="110" t="s">
        <v>731</v>
      </c>
      <c r="G105" s="111">
        <v>60440</v>
      </c>
      <c r="H105" s="108" t="s">
        <v>732</v>
      </c>
      <c r="I105" s="380" t="s">
        <v>733</v>
      </c>
      <c r="J105" s="372" t="s">
        <v>734</v>
      </c>
      <c r="K105" s="112" t="s">
        <v>735</v>
      </c>
      <c r="L105" s="112" t="s">
        <v>369</v>
      </c>
      <c r="M105" s="112" t="s">
        <v>736</v>
      </c>
      <c r="N105" s="112" t="s">
        <v>737</v>
      </c>
      <c r="O105" s="112" t="s">
        <v>64</v>
      </c>
      <c r="P105" s="112" t="s">
        <v>738</v>
      </c>
      <c r="Q105" s="108" t="s">
        <v>739</v>
      </c>
      <c r="R105" s="108" t="s">
        <v>67</v>
      </c>
      <c r="S105" s="108"/>
      <c r="T105" s="67" t="s">
        <v>68</v>
      </c>
      <c r="U105" s="112"/>
      <c r="V105" s="112"/>
      <c r="W105" s="112" t="s">
        <v>46</v>
      </c>
      <c r="X105" s="112" t="s">
        <v>47</v>
      </c>
      <c r="Y105" s="112" t="s">
        <v>48</v>
      </c>
      <c r="Z105" s="112" t="s">
        <v>49</v>
      </c>
      <c r="AA105" s="109">
        <v>46072</v>
      </c>
      <c r="AB105" s="109">
        <v>47156</v>
      </c>
      <c r="AC105" s="132">
        <v>111200399211</v>
      </c>
      <c r="AD105" s="403"/>
      <c r="AE105" s="109"/>
      <c r="AF105" s="109"/>
      <c r="AG105" s="109"/>
      <c r="AH105" s="108"/>
      <c r="AI105">
        <v>67.25</v>
      </c>
    </row>
    <row r="106" spans="1:35">
      <c r="A106" s="56"/>
      <c r="B106" s="33" t="s">
        <v>740</v>
      </c>
      <c r="C106" s="4" t="s">
        <v>741</v>
      </c>
      <c r="D106" s="19">
        <v>38305</v>
      </c>
      <c r="E106" s="46">
        <f t="shared" ca="1" si="20"/>
        <v>21.456536618754278</v>
      </c>
      <c r="F106" s="16" t="s">
        <v>742</v>
      </c>
      <c r="G106" s="14">
        <v>76600</v>
      </c>
      <c r="H106" s="4" t="s">
        <v>242</v>
      </c>
      <c r="I106" s="4"/>
      <c r="J106" s="4"/>
      <c r="K106" s="17" t="s">
        <v>743</v>
      </c>
      <c r="L106" s="17" t="s">
        <v>587</v>
      </c>
      <c r="M106" s="17" t="s">
        <v>744</v>
      </c>
      <c r="N106" s="17" t="s">
        <v>745</v>
      </c>
      <c r="O106" s="17" t="s">
        <v>64</v>
      </c>
      <c r="P106" s="175" t="s">
        <v>65</v>
      </c>
      <c r="Q106" s="4" t="s">
        <v>746</v>
      </c>
      <c r="R106" s="4" t="s">
        <v>358</v>
      </c>
      <c r="S106" s="19">
        <v>46628</v>
      </c>
      <c r="T106" s="4" t="s">
        <v>68</v>
      </c>
      <c r="U106" s="17"/>
      <c r="V106" s="17" t="s">
        <v>45</v>
      </c>
      <c r="W106" s="17" t="s">
        <v>46</v>
      </c>
      <c r="X106" s="17" t="s">
        <v>47</v>
      </c>
      <c r="Y106" s="17" t="s">
        <v>48</v>
      </c>
      <c r="Z106" s="17" t="s">
        <v>49</v>
      </c>
      <c r="AA106" s="19">
        <v>45581</v>
      </c>
      <c r="AB106" s="19">
        <v>46628</v>
      </c>
      <c r="AC106" s="38">
        <v>111200396518</v>
      </c>
      <c r="AD106" s="85"/>
      <c r="AE106" s="164">
        <v>45604</v>
      </c>
      <c r="AF106" s="223">
        <v>46351</v>
      </c>
      <c r="AG106" s="335">
        <f t="shared" si="11"/>
        <v>46351</v>
      </c>
      <c r="AH106" s="108"/>
      <c r="AI106">
        <v>64.75</v>
      </c>
    </row>
    <row r="107" spans="1:35">
      <c r="A107" s="56"/>
      <c r="B107" s="163" t="s">
        <v>747</v>
      </c>
      <c r="C107" s="4" t="s">
        <v>748</v>
      </c>
      <c r="D107" s="19">
        <v>28622</v>
      </c>
      <c r="E107" s="46">
        <f t="shared" ca="1" si="20"/>
        <v>47.967145790554412</v>
      </c>
      <c r="F107" s="16" t="s">
        <v>749</v>
      </c>
      <c r="G107" s="14">
        <v>12100</v>
      </c>
      <c r="H107" s="4" t="s">
        <v>750</v>
      </c>
      <c r="I107" s="4"/>
      <c r="J107" s="4"/>
      <c r="K107" s="17" t="s">
        <v>751</v>
      </c>
      <c r="L107" s="17" t="s">
        <v>752</v>
      </c>
      <c r="M107" s="17" t="s">
        <v>753</v>
      </c>
      <c r="N107" s="17" t="s">
        <v>754</v>
      </c>
      <c r="O107" s="17" t="s">
        <v>64</v>
      </c>
      <c r="P107" s="17" t="s">
        <v>65</v>
      </c>
      <c r="Q107" s="4" t="s">
        <v>755</v>
      </c>
      <c r="R107" s="4" t="s">
        <v>67</v>
      </c>
      <c r="S107" s="4"/>
      <c r="T107" s="4" t="s">
        <v>68</v>
      </c>
      <c r="U107" s="17"/>
      <c r="V107" s="17"/>
      <c r="W107" s="17" t="s">
        <v>46</v>
      </c>
      <c r="X107" s="17" t="s">
        <v>47</v>
      </c>
      <c r="Y107" s="17"/>
      <c r="Z107" s="17"/>
      <c r="AA107" s="19">
        <v>45792</v>
      </c>
      <c r="AB107" s="19">
        <v>46290</v>
      </c>
      <c r="AC107" s="38">
        <v>111200398549</v>
      </c>
      <c r="AD107" s="85"/>
      <c r="AE107" s="164">
        <v>46055</v>
      </c>
      <c r="AF107" s="223">
        <v>46785</v>
      </c>
      <c r="AG107" s="335">
        <f t="shared" ref="AG107:AG138" si="21">MIN(AB107,AF107)</f>
        <v>46290</v>
      </c>
      <c r="AH107" s="108"/>
      <c r="AI107">
        <v>67.25</v>
      </c>
    </row>
    <row r="108" spans="1:35">
      <c r="A108" s="56"/>
      <c r="B108" s="33" t="s">
        <v>756</v>
      </c>
      <c r="C108" s="4" t="s">
        <v>431</v>
      </c>
      <c r="D108" s="19">
        <v>26553</v>
      </c>
      <c r="E108" s="46">
        <f t="shared" ca="1" si="8"/>
        <v>53.63175906913073</v>
      </c>
      <c r="F108" s="16" t="s">
        <v>757</v>
      </c>
      <c r="G108" s="14">
        <v>82170</v>
      </c>
      <c r="H108" s="4" t="s">
        <v>758</v>
      </c>
      <c r="I108" s="4"/>
      <c r="J108" s="4"/>
      <c r="K108" s="17" t="s">
        <v>759</v>
      </c>
      <c r="L108" s="17" t="s">
        <v>87</v>
      </c>
      <c r="M108" s="17" t="s">
        <v>760</v>
      </c>
      <c r="N108" s="17" t="s">
        <v>407</v>
      </c>
      <c r="O108" s="17" t="s">
        <v>64</v>
      </c>
      <c r="P108" s="17" t="s">
        <v>190</v>
      </c>
      <c r="Q108" s="4" t="s">
        <v>264</v>
      </c>
      <c r="R108" s="4" t="s">
        <v>67</v>
      </c>
      <c r="S108" s="4"/>
      <c r="T108" s="4" t="s">
        <v>68</v>
      </c>
      <c r="U108" s="17" t="s">
        <v>44</v>
      </c>
      <c r="V108" s="17" t="s">
        <v>45</v>
      </c>
      <c r="W108" s="17" t="s">
        <v>46</v>
      </c>
      <c r="X108" s="17" t="s">
        <v>47</v>
      </c>
      <c r="Y108" s="17" t="s">
        <v>48</v>
      </c>
      <c r="Z108" s="17" t="s">
        <v>49</v>
      </c>
      <c r="AA108" s="19">
        <v>45302</v>
      </c>
      <c r="AB108" s="19">
        <f t="shared" ref="AB108:AB117" si="22">IF(AA108="","",AA108+365.25*3)</f>
        <v>46397.75</v>
      </c>
      <c r="AC108" s="38">
        <v>111100685460</v>
      </c>
      <c r="AD108" s="19">
        <v>46007</v>
      </c>
      <c r="AE108" s="50"/>
      <c r="AF108" s="62">
        <v>46811</v>
      </c>
      <c r="AG108" s="335">
        <f t="shared" si="21"/>
        <v>46397.75</v>
      </c>
      <c r="AH108" s="109"/>
      <c r="AI108" s="134">
        <v>63.8</v>
      </c>
    </row>
    <row r="109" spans="1:35">
      <c r="A109" s="204"/>
      <c r="B109" s="179" t="s">
        <v>761</v>
      </c>
      <c r="C109" s="108" t="s">
        <v>114</v>
      </c>
      <c r="D109" s="342">
        <v>27352</v>
      </c>
      <c r="E109" s="46">
        <f ca="1">IF(D109="","",($D$2-D109)/365.25)</f>
        <v>51.444216290212182</v>
      </c>
      <c r="F109" s="153" t="s">
        <v>762</v>
      </c>
      <c r="G109" s="350">
        <v>55120</v>
      </c>
      <c r="H109" s="9" t="s">
        <v>763</v>
      </c>
      <c r="I109" s="9"/>
      <c r="J109" s="9"/>
      <c r="K109" s="25" t="s">
        <v>764</v>
      </c>
      <c r="L109" s="25" t="s">
        <v>765</v>
      </c>
      <c r="M109" s="25" t="s">
        <v>766</v>
      </c>
      <c r="N109" s="25" t="s">
        <v>130</v>
      </c>
      <c r="O109" s="25" t="s">
        <v>64</v>
      </c>
      <c r="P109" s="17" t="s">
        <v>65</v>
      </c>
      <c r="Q109" s="4" t="s">
        <v>767</v>
      </c>
      <c r="R109" s="4" t="s">
        <v>67</v>
      </c>
      <c r="S109" s="4"/>
      <c r="T109" s="4" t="s">
        <v>68</v>
      </c>
      <c r="U109" s="17"/>
      <c r="V109" s="17"/>
      <c r="W109" s="17" t="s">
        <v>46</v>
      </c>
      <c r="X109" s="17" t="s">
        <v>47</v>
      </c>
      <c r="Y109" s="17"/>
      <c r="Z109" s="17"/>
      <c r="AA109" s="19">
        <v>45903</v>
      </c>
      <c r="AB109" s="19">
        <v>47066</v>
      </c>
      <c r="AC109" s="38">
        <v>111200398790</v>
      </c>
      <c r="AD109" s="19">
        <v>45995</v>
      </c>
      <c r="AE109" s="85"/>
      <c r="AF109" s="62">
        <v>46725</v>
      </c>
      <c r="AG109" s="335">
        <f t="shared" si="21"/>
        <v>46725</v>
      </c>
      <c r="AH109" s="109"/>
      <c r="AI109">
        <v>67.25</v>
      </c>
    </row>
    <row r="110" spans="1:35">
      <c r="A110" s="56"/>
      <c r="B110" s="33" t="s">
        <v>768</v>
      </c>
      <c r="C110" s="4" t="s">
        <v>223</v>
      </c>
      <c r="D110" s="19">
        <v>37175</v>
      </c>
      <c r="E110" s="46">
        <f t="shared" ref="E110:E117" ca="1" si="23">IF(D110="","",($D$2-D110)/365.25)</f>
        <v>24.550308008213552</v>
      </c>
      <c r="F110" s="64" t="s">
        <v>769</v>
      </c>
      <c r="G110" s="14">
        <v>20239</v>
      </c>
      <c r="H110" s="4" t="s">
        <v>770</v>
      </c>
      <c r="I110" s="4"/>
      <c r="J110" s="4"/>
      <c r="K110" s="17" t="s">
        <v>771</v>
      </c>
      <c r="L110" s="17" t="s">
        <v>601</v>
      </c>
      <c r="M110" s="17" t="s">
        <v>772</v>
      </c>
      <c r="N110" s="17" t="s">
        <v>183</v>
      </c>
      <c r="O110" s="17" t="s">
        <v>64</v>
      </c>
      <c r="P110" s="17" t="s">
        <v>190</v>
      </c>
      <c r="Q110" s="4" t="s">
        <v>101</v>
      </c>
      <c r="R110" s="4" t="s">
        <v>67</v>
      </c>
      <c r="S110" s="4"/>
      <c r="T110" s="4" t="s">
        <v>68</v>
      </c>
      <c r="U110" s="17"/>
      <c r="V110" s="17"/>
      <c r="W110" s="17" t="s">
        <v>46</v>
      </c>
      <c r="X110" s="17" t="s">
        <v>47</v>
      </c>
      <c r="Y110" s="17"/>
      <c r="Z110" s="17"/>
      <c r="AA110" s="19">
        <v>45346</v>
      </c>
      <c r="AB110" s="19">
        <f t="shared" si="22"/>
        <v>46441.75</v>
      </c>
      <c r="AC110" s="38">
        <v>111100694410</v>
      </c>
      <c r="AD110" s="19">
        <v>45572</v>
      </c>
      <c r="AE110" s="50"/>
      <c r="AF110" s="62">
        <v>46302</v>
      </c>
      <c r="AG110" s="335">
        <f t="shared" si="21"/>
        <v>46302</v>
      </c>
      <c r="AH110" s="108"/>
      <c r="AI110" s="134">
        <v>63.8</v>
      </c>
    </row>
    <row r="111" spans="1:35">
      <c r="A111" s="56"/>
      <c r="B111" s="33" t="s">
        <v>773</v>
      </c>
      <c r="C111" s="4" t="s">
        <v>319</v>
      </c>
      <c r="D111" s="19">
        <v>24947</v>
      </c>
      <c r="E111" s="46">
        <f t="shared" ca="1" si="23"/>
        <v>58.02874743326489</v>
      </c>
      <c r="F111" s="16" t="s">
        <v>774</v>
      </c>
      <c r="G111" s="14">
        <v>30290</v>
      </c>
      <c r="H111" s="4" t="s">
        <v>775</v>
      </c>
      <c r="I111" s="4"/>
      <c r="J111" s="4"/>
      <c r="K111" s="17" t="s">
        <v>776</v>
      </c>
      <c r="L111" s="17" t="s">
        <v>158</v>
      </c>
      <c r="M111" s="17" t="s">
        <v>777</v>
      </c>
      <c r="N111" s="17" t="s">
        <v>130</v>
      </c>
      <c r="O111" s="17" t="s">
        <v>64</v>
      </c>
      <c r="P111" s="17" t="s">
        <v>65</v>
      </c>
      <c r="Q111" s="4" t="s">
        <v>101</v>
      </c>
      <c r="R111" s="4" t="s">
        <v>67</v>
      </c>
      <c r="S111" s="4"/>
      <c r="T111" s="4" t="s">
        <v>68</v>
      </c>
      <c r="U111" s="17"/>
      <c r="V111" s="17"/>
      <c r="W111" s="17" t="s">
        <v>46</v>
      </c>
      <c r="X111" s="17" t="s">
        <v>47</v>
      </c>
      <c r="Y111" s="17"/>
      <c r="Z111" s="17"/>
      <c r="AA111" s="19">
        <v>45338</v>
      </c>
      <c r="AB111" s="19">
        <f t="shared" si="22"/>
        <v>46433.75</v>
      </c>
      <c r="AC111" s="38">
        <v>111200395448</v>
      </c>
      <c r="AD111" s="19">
        <v>45572</v>
      </c>
      <c r="AE111" s="50"/>
      <c r="AF111" s="62">
        <v>46302</v>
      </c>
      <c r="AG111" s="335">
        <f t="shared" si="21"/>
        <v>46302</v>
      </c>
      <c r="AH111" s="108"/>
      <c r="AI111" s="134">
        <v>63.8</v>
      </c>
    </row>
    <row r="112" spans="1:35">
      <c r="A112" s="56"/>
      <c r="B112" s="33" t="s">
        <v>778</v>
      </c>
      <c r="C112" s="4" t="s">
        <v>96</v>
      </c>
      <c r="D112" s="19">
        <v>33484</v>
      </c>
      <c r="E112" s="46">
        <f t="shared" ca="1" si="23"/>
        <v>34.65571526351814</v>
      </c>
      <c r="F112" s="16" t="s">
        <v>779</v>
      </c>
      <c r="G112" s="14">
        <v>91300</v>
      </c>
      <c r="H112" s="4" t="s">
        <v>780</v>
      </c>
      <c r="I112" s="4"/>
      <c r="J112" s="4"/>
      <c r="K112" s="17" t="s">
        <v>781</v>
      </c>
      <c r="L112" s="17" t="s">
        <v>782</v>
      </c>
      <c r="M112" s="17" t="s">
        <v>783</v>
      </c>
      <c r="N112" s="17" t="s">
        <v>784</v>
      </c>
      <c r="O112" s="17" t="s">
        <v>64</v>
      </c>
      <c r="P112" s="17" t="s">
        <v>190</v>
      </c>
      <c r="Q112" s="4" t="s">
        <v>785</v>
      </c>
      <c r="R112" s="4" t="s">
        <v>67</v>
      </c>
      <c r="S112" s="4"/>
      <c r="T112" s="4" t="s">
        <v>68</v>
      </c>
      <c r="U112" s="17"/>
      <c r="V112" s="17"/>
      <c r="W112" s="17" t="s">
        <v>46</v>
      </c>
      <c r="X112" s="17" t="s">
        <v>47</v>
      </c>
      <c r="Y112" s="17"/>
      <c r="Z112" s="17"/>
      <c r="AA112" s="19">
        <v>45349</v>
      </c>
      <c r="AB112" s="19">
        <f t="shared" si="22"/>
        <v>46444.75</v>
      </c>
      <c r="AC112" s="38">
        <v>111100728270</v>
      </c>
      <c r="AD112" s="19">
        <v>45449</v>
      </c>
      <c r="AE112" s="50"/>
      <c r="AF112" s="62">
        <v>46910</v>
      </c>
      <c r="AG112" s="335">
        <f t="shared" si="21"/>
        <v>46444.75</v>
      </c>
      <c r="AH112" s="109"/>
      <c r="AI112" s="134">
        <v>64.75</v>
      </c>
    </row>
    <row r="113" spans="1:35">
      <c r="A113" s="204"/>
      <c r="B113" s="353" t="s">
        <v>786</v>
      </c>
      <c r="C113" s="341" t="s">
        <v>787</v>
      </c>
      <c r="D113" s="342">
        <v>23355</v>
      </c>
      <c r="E113" s="151">
        <f ca="1">IF(D113="","",($D$2-D113)/365.25)</f>
        <v>62.387405886379192</v>
      </c>
      <c r="F113" s="349" t="s">
        <v>788</v>
      </c>
      <c r="G113" s="111">
        <v>60000</v>
      </c>
      <c r="H113" s="108" t="s">
        <v>789</v>
      </c>
      <c r="I113" s="108"/>
      <c r="J113" s="372"/>
      <c r="K113" s="347" t="s">
        <v>790</v>
      </c>
      <c r="L113" s="369" t="s">
        <v>791</v>
      </c>
      <c r="M113" s="347" t="s">
        <v>792</v>
      </c>
      <c r="N113" s="112" t="s">
        <v>793</v>
      </c>
      <c r="O113" s="17" t="s">
        <v>64</v>
      </c>
      <c r="P113" s="17" t="s">
        <v>65</v>
      </c>
      <c r="Q113" s="4" t="s">
        <v>767</v>
      </c>
      <c r="R113" s="4" t="s">
        <v>67</v>
      </c>
      <c r="S113" s="4"/>
      <c r="T113" s="4" t="s">
        <v>68</v>
      </c>
      <c r="U113" s="17"/>
      <c r="V113" s="17"/>
      <c r="W113" s="17" t="s">
        <v>46</v>
      </c>
      <c r="X113" s="17" t="s">
        <v>47</v>
      </c>
      <c r="Y113" s="17"/>
      <c r="Z113" s="17"/>
      <c r="AA113" s="19">
        <v>45966</v>
      </c>
      <c r="AB113" s="19">
        <v>47062</v>
      </c>
      <c r="AC113" s="38">
        <v>111200398776</v>
      </c>
      <c r="AD113" s="50"/>
      <c r="AE113" s="19">
        <v>46055</v>
      </c>
      <c r="AF113" s="346">
        <v>46785</v>
      </c>
      <c r="AG113" s="335">
        <f t="shared" si="21"/>
        <v>46785</v>
      </c>
      <c r="AH113" s="108"/>
      <c r="AI113">
        <v>67.25</v>
      </c>
    </row>
    <row r="114" spans="1:35">
      <c r="A114" s="248"/>
      <c r="B114" s="33" t="s">
        <v>794</v>
      </c>
      <c r="C114" s="4" t="s">
        <v>795</v>
      </c>
      <c r="D114" s="19">
        <v>34148</v>
      </c>
      <c r="E114" s="46">
        <f ca="1">IF(D114="","",($D$2-D114)/365.25)</f>
        <v>32.837782340862425</v>
      </c>
      <c r="F114" s="16" t="s">
        <v>796</v>
      </c>
      <c r="G114" s="14">
        <v>77320</v>
      </c>
      <c r="H114" s="4" t="s">
        <v>797</v>
      </c>
      <c r="I114" s="4"/>
      <c r="J114" s="4"/>
      <c r="K114" s="17" t="s">
        <v>798</v>
      </c>
      <c r="L114" s="17" t="s">
        <v>728</v>
      </c>
      <c r="M114" s="17" t="s">
        <v>799</v>
      </c>
      <c r="N114" s="17" t="s">
        <v>210</v>
      </c>
      <c r="O114" s="17" t="s">
        <v>64</v>
      </c>
      <c r="P114" s="17" t="s">
        <v>190</v>
      </c>
      <c r="Q114" s="4" t="s">
        <v>755</v>
      </c>
      <c r="R114" s="4" t="s">
        <v>67</v>
      </c>
      <c r="S114" s="4"/>
      <c r="T114" s="4" t="s">
        <v>68</v>
      </c>
      <c r="U114" s="17"/>
      <c r="V114" s="17"/>
      <c r="W114" s="17" t="s">
        <v>46</v>
      </c>
      <c r="X114" s="17" t="s">
        <v>47</v>
      </c>
      <c r="Y114" s="17"/>
      <c r="Z114" s="17"/>
      <c r="AA114" s="19">
        <v>45792</v>
      </c>
      <c r="AB114" s="19">
        <f>IF(AA114="","",AA114+365.25*3)</f>
        <v>46887.75</v>
      </c>
      <c r="AC114" s="38">
        <v>111200397671</v>
      </c>
      <c r="AD114" s="82"/>
      <c r="AE114" s="85"/>
      <c r="AF114" s="38"/>
      <c r="AG114" s="335">
        <f t="shared" si="21"/>
        <v>46887.75</v>
      </c>
      <c r="AH114" s="108"/>
      <c r="AI114">
        <v>67.25</v>
      </c>
    </row>
    <row r="115" spans="1:35">
      <c r="A115" s="56"/>
      <c r="B115" s="33" t="s">
        <v>800</v>
      </c>
      <c r="C115" s="4" t="s">
        <v>355</v>
      </c>
      <c r="D115" s="19">
        <v>26991</v>
      </c>
      <c r="E115" s="46">
        <f t="shared" ca="1" si="23"/>
        <v>52.432580424366868</v>
      </c>
      <c r="F115" s="16" t="s">
        <v>801</v>
      </c>
      <c r="G115" s="14">
        <v>69930</v>
      </c>
      <c r="H115" s="4" t="s">
        <v>802</v>
      </c>
      <c r="I115" s="4"/>
      <c r="J115" s="4"/>
      <c r="K115" s="17" t="s">
        <v>803</v>
      </c>
      <c r="L115" s="17" t="s">
        <v>132</v>
      </c>
      <c r="M115" s="17" t="s">
        <v>804</v>
      </c>
      <c r="N115" s="17" t="s">
        <v>805</v>
      </c>
      <c r="O115" s="17" t="s">
        <v>64</v>
      </c>
      <c r="P115" s="17" t="s">
        <v>65</v>
      </c>
      <c r="Q115" s="4" t="s">
        <v>806</v>
      </c>
      <c r="R115" s="4" t="s">
        <v>67</v>
      </c>
      <c r="S115" s="4"/>
      <c r="T115" s="4" t="s">
        <v>68</v>
      </c>
      <c r="U115" s="17"/>
      <c r="V115" s="17"/>
      <c r="W115" s="17" t="s">
        <v>46</v>
      </c>
      <c r="X115" s="17" t="s">
        <v>47</v>
      </c>
      <c r="Y115" s="17"/>
      <c r="Z115" s="17"/>
      <c r="AA115" s="19">
        <v>45574</v>
      </c>
      <c r="AB115" s="19">
        <f t="shared" si="22"/>
        <v>46669.75</v>
      </c>
      <c r="AC115" s="38">
        <v>111200396524</v>
      </c>
      <c r="AD115" s="19">
        <v>45610</v>
      </c>
      <c r="AE115" s="50"/>
      <c r="AF115" s="62">
        <v>46338</v>
      </c>
      <c r="AG115" s="335">
        <f t="shared" si="21"/>
        <v>46338</v>
      </c>
      <c r="AH115" s="108"/>
      <c r="AI115" s="134">
        <v>64.75</v>
      </c>
    </row>
    <row r="116" spans="1:35">
      <c r="A116" s="56"/>
      <c r="B116" s="33" t="s">
        <v>807</v>
      </c>
      <c r="C116" s="4" t="s">
        <v>533</v>
      </c>
      <c r="D116" s="19">
        <v>34711</v>
      </c>
      <c r="E116" s="46">
        <f t="shared" ca="1" si="23"/>
        <v>31.296372347707049</v>
      </c>
      <c r="F116" s="16" t="s">
        <v>808</v>
      </c>
      <c r="G116" s="14">
        <v>75015</v>
      </c>
      <c r="H116" s="4" t="s">
        <v>165</v>
      </c>
      <c r="I116" s="4"/>
      <c r="J116" s="4"/>
      <c r="K116" s="17" t="s">
        <v>809</v>
      </c>
      <c r="L116" s="17" t="s">
        <v>223</v>
      </c>
      <c r="M116" s="17" t="s">
        <v>810</v>
      </c>
      <c r="N116" s="17" t="s">
        <v>811</v>
      </c>
      <c r="O116" s="17" t="s">
        <v>64</v>
      </c>
      <c r="P116" s="17" t="s">
        <v>65</v>
      </c>
      <c r="Q116" s="4" t="s">
        <v>812</v>
      </c>
      <c r="R116" s="4" t="s">
        <v>67</v>
      </c>
      <c r="S116" s="4"/>
      <c r="T116" s="4" t="s">
        <v>68</v>
      </c>
      <c r="U116" s="17"/>
      <c r="V116" s="17"/>
      <c r="W116" s="17" t="s">
        <v>46</v>
      </c>
      <c r="X116" s="17" t="s">
        <v>47</v>
      </c>
      <c r="Y116" s="17"/>
      <c r="Z116" s="17"/>
      <c r="AA116" s="19">
        <v>45540</v>
      </c>
      <c r="AB116" s="19">
        <f t="shared" si="22"/>
        <v>46635.75</v>
      </c>
      <c r="AC116" s="38">
        <v>111200396271</v>
      </c>
      <c r="AD116" s="75"/>
      <c r="AE116" s="19">
        <v>45566</v>
      </c>
      <c r="AF116" s="62">
        <v>46296</v>
      </c>
      <c r="AG116" s="335">
        <f t="shared" si="21"/>
        <v>46296</v>
      </c>
      <c r="AH116" s="108"/>
      <c r="AI116" s="134">
        <v>64.75</v>
      </c>
    </row>
    <row r="117" spans="1:35">
      <c r="A117" s="56"/>
      <c r="B117" s="33" t="s">
        <v>813</v>
      </c>
      <c r="C117" s="4" t="s">
        <v>20</v>
      </c>
      <c r="D117" s="19">
        <v>36409</v>
      </c>
      <c r="E117" s="46">
        <f t="shared" ca="1" si="23"/>
        <v>26.647501711156742</v>
      </c>
      <c r="F117" s="16" t="s">
        <v>814</v>
      </c>
      <c r="G117" s="14">
        <v>93500</v>
      </c>
      <c r="H117" s="4" t="s">
        <v>815</v>
      </c>
      <c r="I117" s="4"/>
      <c r="J117" s="4"/>
      <c r="K117" s="17" t="s">
        <v>816</v>
      </c>
      <c r="L117" s="17" t="s">
        <v>817</v>
      </c>
      <c r="M117" s="17" t="s">
        <v>818</v>
      </c>
      <c r="N117" s="17" t="s">
        <v>819</v>
      </c>
      <c r="O117" s="17" t="s">
        <v>64</v>
      </c>
      <c r="P117" s="17" t="s">
        <v>65</v>
      </c>
      <c r="Q117" s="4" t="s">
        <v>309</v>
      </c>
      <c r="R117" s="4" t="s">
        <v>67</v>
      </c>
      <c r="S117" s="4"/>
      <c r="T117" s="4" t="s">
        <v>68</v>
      </c>
      <c r="U117" s="17"/>
      <c r="V117" s="17"/>
      <c r="W117" s="17" t="s">
        <v>46</v>
      </c>
      <c r="X117" s="17" t="s">
        <v>47</v>
      </c>
      <c r="Y117" s="17"/>
      <c r="Z117" s="17"/>
      <c r="AA117" s="19">
        <v>45722</v>
      </c>
      <c r="AB117" s="251">
        <f t="shared" si="22"/>
        <v>46817.75</v>
      </c>
      <c r="AC117" s="38">
        <v>111200397247</v>
      </c>
      <c r="AD117" s="50"/>
      <c r="AE117" s="19">
        <v>45722</v>
      </c>
      <c r="AF117" s="62">
        <v>46492</v>
      </c>
      <c r="AG117" s="335">
        <f t="shared" si="21"/>
        <v>46492</v>
      </c>
      <c r="AH117" s="108"/>
      <c r="AI117" s="134">
        <v>63.8</v>
      </c>
    </row>
    <row r="118" spans="1:35">
      <c r="A118" s="56"/>
      <c r="B118" s="33" t="s">
        <v>820</v>
      </c>
      <c r="C118" s="4" t="s">
        <v>821</v>
      </c>
      <c r="D118" s="19">
        <v>37928</v>
      </c>
      <c r="E118" s="46">
        <f t="shared" ref="E118:E137" ca="1" si="24">IF(D118="","",($D$2-D118)/365.25)</f>
        <v>22.488706365503081</v>
      </c>
      <c r="F118" s="16" t="s">
        <v>822</v>
      </c>
      <c r="G118" s="14">
        <v>12240</v>
      </c>
      <c r="H118" s="4" t="s">
        <v>823</v>
      </c>
      <c r="I118" s="4"/>
      <c r="J118" s="4"/>
      <c r="K118" s="17" t="s">
        <v>824</v>
      </c>
      <c r="L118" s="17" t="s">
        <v>825</v>
      </c>
      <c r="M118" s="17" t="s">
        <v>826</v>
      </c>
      <c r="N118" s="17" t="s">
        <v>827</v>
      </c>
      <c r="O118" s="17" t="s">
        <v>64</v>
      </c>
      <c r="P118" s="17" t="s">
        <v>65</v>
      </c>
      <c r="Q118" s="4" t="s">
        <v>828</v>
      </c>
      <c r="R118" s="4" t="s">
        <v>358</v>
      </c>
      <c r="S118" s="4" t="s">
        <v>829</v>
      </c>
      <c r="T118" s="4" t="s">
        <v>68</v>
      </c>
      <c r="U118" s="17"/>
      <c r="V118" s="17"/>
      <c r="W118" s="17" t="s">
        <v>46</v>
      </c>
      <c r="X118" s="17" t="s">
        <v>47</v>
      </c>
      <c r="Y118" s="17"/>
      <c r="Z118" s="17"/>
      <c r="AA118" s="19">
        <v>45467</v>
      </c>
      <c r="AB118" s="19">
        <v>46290</v>
      </c>
      <c r="AC118" s="38">
        <v>111200396032</v>
      </c>
      <c r="AD118" s="19">
        <v>45574</v>
      </c>
      <c r="AE118" s="50"/>
      <c r="AF118" s="62">
        <v>46304</v>
      </c>
      <c r="AG118" s="335">
        <f t="shared" si="21"/>
        <v>46290</v>
      </c>
      <c r="AH118" s="108"/>
      <c r="AI118">
        <v>64.75</v>
      </c>
    </row>
    <row r="119" spans="1:35">
      <c r="A119" s="204"/>
      <c r="B119" s="179" t="s">
        <v>830</v>
      </c>
      <c r="C119" s="108" t="s">
        <v>831</v>
      </c>
      <c r="D119" s="342">
        <v>36772</v>
      </c>
      <c r="E119" s="46">
        <f ca="1">IF(D119="","",($D$2-D119)/365.25)</f>
        <v>25.65366187542779</v>
      </c>
      <c r="F119" s="16" t="s">
        <v>832</v>
      </c>
      <c r="G119" s="14">
        <v>77230</v>
      </c>
      <c r="H119" s="4" t="s">
        <v>833</v>
      </c>
      <c r="I119" s="4"/>
      <c r="J119" s="4"/>
      <c r="K119" s="17" t="s">
        <v>834</v>
      </c>
      <c r="L119" s="17" t="s">
        <v>835</v>
      </c>
      <c r="M119" s="17" t="s">
        <v>836</v>
      </c>
      <c r="N119" s="17" t="s">
        <v>837</v>
      </c>
      <c r="O119" s="17" t="s">
        <v>64</v>
      </c>
      <c r="P119" s="17" t="s">
        <v>65</v>
      </c>
      <c r="Q119" s="4" t="s">
        <v>767</v>
      </c>
      <c r="R119" s="4" t="s">
        <v>67</v>
      </c>
      <c r="S119" s="4"/>
      <c r="T119" s="4" t="s">
        <v>68</v>
      </c>
      <c r="U119" s="17"/>
      <c r="V119" s="17"/>
      <c r="W119" s="17" t="s">
        <v>46</v>
      </c>
      <c r="X119" s="17" t="s">
        <v>47</v>
      </c>
      <c r="Y119" s="17"/>
      <c r="Z119" s="17"/>
      <c r="AA119" s="19">
        <v>45953</v>
      </c>
      <c r="AB119" s="19">
        <v>46434</v>
      </c>
      <c r="AC119" s="38">
        <v>111200398689</v>
      </c>
      <c r="AD119" s="19">
        <v>45595</v>
      </c>
      <c r="AE119" s="50"/>
      <c r="AF119" s="346">
        <v>46325</v>
      </c>
      <c r="AG119" s="335">
        <f t="shared" si="21"/>
        <v>46325</v>
      </c>
      <c r="AH119" s="108"/>
      <c r="AI119">
        <v>67.25</v>
      </c>
    </row>
    <row r="120" spans="1:35">
      <c r="A120" s="56"/>
      <c r="B120" s="33" t="s">
        <v>838</v>
      </c>
      <c r="C120" s="4" t="s">
        <v>839</v>
      </c>
      <c r="D120" s="19">
        <v>28665</v>
      </c>
      <c r="E120" s="46">
        <f ca="1">IF(D120="","",($D$2-D120)/365.25)</f>
        <v>47.849418206707732</v>
      </c>
      <c r="F120" s="16" t="s">
        <v>840</v>
      </c>
      <c r="G120" s="14">
        <v>33430</v>
      </c>
      <c r="H120" s="4" t="s">
        <v>841</v>
      </c>
      <c r="I120" s="4"/>
      <c r="J120" s="4"/>
      <c r="K120" s="17" t="s">
        <v>842</v>
      </c>
      <c r="L120" s="17" t="s">
        <v>791</v>
      </c>
      <c r="M120" s="17" t="s">
        <v>843</v>
      </c>
      <c r="N120" s="17" t="s">
        <v>844</v>
      </c>
      <c r="O120" s="17" t="s">
        <v>64</v>
      </c>
      <c r="P120" s="17" t="s">
        <v>65</v>
      </c>
      <c r="Q120" s="4" t="s">
        <v>845</v>
      </c>
      <c r="R120" s="4" t="s">
        <v>67</v>
      </c>
      <c r="S120" s="4"/>
      <c r="T120" s="4" t="s">
        <v>68</v>
      </c>
      <c r="U120" s="17"/>
      <c r="V120" s="17"/>
      <c r="W120" s="17" t="s">
        <v>46</v>
      </c>
      <c r="X120" s="17" t="s">
        <v>47</v>
      </c>
      <c r="Y120" s="17"/>
      <c r="Z120" s="17"/>
      <c r="AA120" s="19">
        <v>45757</v>
      </c>
      <c r="AB120" s="19">
        <f t="shared" ref="AB120:AB127" si="25">IF(AA120="","",AA120+365.25*3)</f>
        <v>46852.75</v>
      </c>
      <c r="AC120" s="38">
        <v>111200397412</v>
      </c>
      <c r="AD120" s="19">
        <v>45825</v>
      </c>
      <c r="AE120" s="50"/>
      <c r="AF120" s="62">
        <v>46555</v>
      </c>
      <c r="AG120" s="335">
        <f t="shared" si="21"/>
        <v>46555</v>
      </c>
      <c r="AH120" s="108"/>
      <c r="AI120">
        <v>67.25</v>
      </c>
    </row>
    <row r="121" spans="1:35">
      <c r="A121" s="56"/>
      <c r="B121" s="33" t="s">
        <v>846</v>
      </c>
      <c r="C121" s="4" t="s">
        <v>847</v>
      </c>
      <c r="D121" s="19">
        <v>29332</v>
      </c>
      <c r="E121" s="46">
        <f t="shared" ca="1" si="24"/>
        <v>46.02327173169062</v>
      </c>
      <c r="F121" s="16" t="s">
        <v>848</v>
      </c>
      <c r="G121" s="14">
        <v>97437</v>
      </c>
      <c r="H121" s="4" t="s">
        <v>849</v>
      </c>
      <c r="I121" s="4"/>
      <c r="J121" s="4"/>
      <c r="K121" s="17" t="s">
        <v>850</v>
      </c>
      <c r="L121" s="17" t="s">
        <v>851</v>
      </c>
      <c r="M121" s="17" t="s">
        <v>852</v>
      </c>
      <c r="N121" s="17" t="s">
        <v>853</v>
      </c>
      <c r="O121" s="17" t="s">
        <v>64</v>
      </c>
      <c r="P121" s="17" t="s">
        <v>190</v>
      </c>
      <c r="Q121" s="4" t="s">
        <v>854</v>
      </c>
      <c r="R121" s="4" t="s">
        <v>67</v>
      </c>
      <c r="S121" s="4"/>
      <c r="T121" s="4" t="s">
        <v>68</v>
      </c>
      <c r="U121" s="17"/>
      <c r="V121" s="17"/>
      <c r="W121" s="17" t="s">
        <v>46</v>
      </c>
      <c r="X121" s="17" t="s">
        <v>47</v>
      </c>
      <c r="Y121" s="17" t="s">
        <v>48</v>
      </c>
      <c r="Z121" s="17"/>
      <c r="AA121" s="19">
        <v>45318</v>
      </c>
      <c r="AB121" s="19">
        <f t="shared" si="25"/>
        <v>46413.75</v>
      </c>
      <c r="AC121" s="38">
        <v>111100701321</v>
      </c>
      <c r="AD121" s="19">
        <v>45489</v>
      </c>
      <c r="AE121" s="50"/>
      <c r="AF121" s="62">
        <v>46219</v>
      </c>
      <c r="AG121" s="335">
        <f t="shared" si="21"/>
        <v>46219</v>
      </c>
      <c r="AH121" s="108"/>
      <c r="AI121" s="134">
        <v>63.8</v>
      </c>
    </row>
    <row r="122" spans="1:35">
      <c r="A122" s="82"/>
      <c r="B122" s="33" t="s">
        <v>855</v>
      </c>
      <c r="C122" s="4" t="s">
        <v>856</v>
      </c>
      <c r="D122" s="19">
        <v>30996</v>
      </c>
      <c r="E122" s="46">
        <f t="shared" ca="1" si="24"/>
        <v>41.46748802190281</v>
      </c>
      <c r="F122" s="16" t="s">
        <v>857</v>
      </c>
      <c r="G122" s="14">
        <v>75020</v>
      </c>
      <c r="H122" s="4" t="s">
        <v>165</v>
      </c>
      <c r="I122" s="4"/>
      <c r="J122" s="4"/>
      <c r="K122" s="17" t="s">
        <v>858</v>
      </c>
      <c r="L122" s="17" t="s">
        <v>859</v>
      </c>
      <c r="M122" s="17" t="s">
        <v>860</v>
      </c>
      <c r="N122" s="17" t="s">
        <v>861</v>
      </c>
      <c r="O122" s="17" t="s">
        <v>64</v>
      </c>
      <c r="P122" s="17" t="s">
        <v>65</v>
      </c>
      <c r="Q122" s="4" t="s">
        <v>200</v>
      </c>
      <c r="R122" s="4"/>
      <c r="S122" s="4"/>
      <c r="T122" s="4" t="s">
        <v>68</v>
      </c>
      <c r="U122" s="17"/>
      <c r="V122" s="17"/>
      <c r="W122" s="17" t="s">
        <v>46</v>
      </c>
      <c r="X122" s="17" t="s">
        <v>47</v>
      </c>
      <c r="Y122" s="17"/>
      <c r="Z122" s="17"/>
      <c r="AA122" s="19">
        <v>45510</v>
      </c>
      <c r="AB122" s="19">
        <f t="shared" si="25"/>
        <v>46605.75</v>
      </c>
      <c r="AC122" s="38">
        <v>111200396163</v>
      </c>
      <c r="AD122" s="50"/>
      <c r="AE122" s="70"/>
      <c r="AF122" s="19"/>
      <c r="AG122" s="335">
        <f t="shared" si="21"/>
        <v>46605.75</v>
      </c>
      <c r="AH122" s="108"/>
      <c r="AI122">
        <v>64.75</v>
      </c>
    </row>
    <row r="123" spans="1:35" ht="13.5" customHeight="1">
      <c r="A123" s="56"/>
      <c r="B123" s="33" t="s">
        <v>447</v>
      </c>
      <c r="C123" s="4" t="s">
        <v>613</v>
      </c>
      <c r="D123" s="19">
        <v>25769</v>
      </c>
      <c r="E123" s="46">
        <f t="shared" ca="1" si="24"/>
        <v>55.7782340862423</v>
      </c>
      <c r="F123" s="16" t="s">
        <v>862</v>
      </c>
      <c r="G123" s="14">
        <v>38440</v>
      </c>
      <c r="H123" s="4" t="s">
        <v>863</v>
      </c>
      <c r="I123" s="4"/>
      <c r="J123" s="4"/>
      <c r="K123" s="17" t="s">
        <v>864</v>
      </c>
      <c r="L123" s="17" t="s">
        <v>791</v>
      </c>
      <c r="M123" s="17" t="s">
        <v>865</v>
      </c>
      <c r="N123" s="17" t="s">
        <v>866</v>
      </c>
      <c r="O123" s="17" t="s">
        <v>64</v>
      </c>
      <c r="P123" s="17" t="s">
        <v>65</v>
      </c>
      <c r="Q123" s="4" t="s">
        <v>755</v>
      </c>
      <c r="R123" s="4" t="s">
        <v>67</v>
      </c>
      <c r="S123" s="4"/>
      <c r="T123" s="4" t="s">
        <v>68</v>
      </c>
      <c r="U123" s="17"/>
      <c r="V123" s="17"/>
      <c r="W123" s="17" t="s">
        <v>46</v>
      </c>
      <c r="X123" s="17" t="s">
        <v>47</v>
      </c>
      <c r="Y123" s="17"/>
      <c r="Z123" s="17"/>
      <c r="AA123" s="19">
        <v>45700</v>
      </c>
      <c r="AB123" s="19">
        <f t="shared" si="25"/>
        <v>46795.75</v>
      </c>
      <c r="AC123" s="38">
        <v>111200397043</v>
      </c>
      <c r="AD123" s="19">
        <v>45748</v>
      </c>
      <c r="AE123" s="50"/>
      <c r="AF123" s="62">
        <v>46478</v>
      </c>
      <c r="AG123" s="335">
        <f t="shared" si="21"/>
        <v>46478</v>
      </c>
      <c r="AH123" s="108"/>
      <c r="AI123">
        <v>64.75</v>
      </c>
    </row>
    <row r="124" spans="1:35" ht="15" customHeight="1">
      <c r="A124" s="56"/>
      <c r="B124" s="33" t="s">
        <v>867</v>
      </c>
      <c r="C124" s="4" t="s">
        <v>868</v>
      </c>
      <c r="D124" s="19">
        <v>24124</v>
      </c>
      <c r="E124" s="46">
        <f ca="1">IF(D124="","",($D$2-D124)/365.25)</f>
        <v>60.281998631074607</v>
      </c>
      <c r="F124" s="16" t="s">
        <v>869</v>
      </c>
      <c r="G124" s="14">
        <v>40660</v>
      </c>
      <c r="H124" s="4" t="s">
        <v>870</v>
      </c>
      <c r="I124" s="4"/>
      <c r="J124" s="4"/>
      <c r="K124" s="17" t="s">
        <v>871</v>
      </c>
      <c r="L124" s="17" t="s">
        <v>872</v>
      </c>
      <c r="M124" s="17" t="s">
        <v>873</v>
      </c>
      <c r="N124" s="17" t="s">
        <v>407</v>
      </c>
      <c r="O124" s="17" t="s">
        <v>64</v>
      </c>
      <c r="P124" s="17" t="s">
        <v>65</v>
      </c>
      <c r="Q124" s="4" t="s">
        <v>874</v>
      </c>
      <c r="R124" s="4" t="s">
        <v>67</v>
      </c>
      <c r="S124" s="4"/>
      <c r="T124" s="4" t="s">
        <v>68</v>
      </c>
      <c r="U124" s="17"/>
      <c r="V124" s="17"/>
      <c r="W124" s="17" t="s">
        <v>46</v>
      </c>
      <c r="X124" s="17" t="s">
        <v>47</v>
      </c>
      <c r="Y124" s="17"/>
      <c r="Z124" s="17"/>
      <c r="AA124" s="19">
        <v>45854</v>
      </c>
      <c r="AB124" s="19">
        <f t="shared" si="25"/>
        <v>46949.75</v>
      </c>
      <c r="AC124" s="38">
        <v>111200398291</v>
      </c>
      <c r="AD124" s="50"/>
      <c r="AE124" s="70">
        <v>45874</v>
      </c>
      <c r="AF124" s="19"/>
      <c r="AG124" s="335">
        <f t="shared" si="21"/>
        <v>46949.75</v>
      </c>
      <c r="AH124" s="108"/>
      <c r="AI124">
        <v>67.25</v>
      </c>
    </row>
    <row r="125" spans="1:35">
      <c r="A125" s="204"/>
      <c r="B125" s="366" t="s">
        <v>875</v>
      </c>
      <c r="C125" s="108" t="s">
        <v>795</v>
      </c>
      <c r="D125" s="342">
        <v>35066</v>
      </c>
      <c r="E125" s="151">
        <f ca="1">IF(D125="","",($D$2-D125)/365.25)</f>
        <v>30.324435318275153</v>
      </c>
      <c r="F125" s="110" t="s">
        <v>876</v>
      </c>
      <c r="G125" s="111">
        <v>85700</v>
      </c>
      <c r="H125" s="108" t="s">
        <v>877</v>
      </c>
      <c r="I125" s="108"/>
      <c r="J125" s="372"/>
      <c r="K125" s="112" t="s">
        <v>878</v>
      </c>
      <c r="L125" s="370" t="s">
        <v>379</v>
      </c>
      <c r="M125" s="348" t="s">
        <v>879</v>
      </c>
      <c r="N125" s="348" t="s">
        <v>880</v>
      </c>
      <c r="O125" s="17" t="s">
        <v>64</v>
      </c>
      <c r="P125" s="17" t="s">
        <v>65</v>
      </c>
      <c r="Q125" s="4" t="s">
        <v>881</v>
      </c>
      <c r="R125" s="4" t="s">
        <v>67</v>
      </c>
      <c r="S125" s="4"/>
      <c r="T125" s="4" t="s">
        <v>68</v>
      </c>
      <c r="U125" s="17"/>
      <c r="V125" s="17"/>
      <c r="W125" s="17" t="s">
        <v>46</v>
      </c>
      <c r="X125" s="17" t="s">
        <v>47</v>
      </c>
      <c r="Y125" s="17"/>
      <c r="Z125" s="17"/>
      <c r="AA125" s="19">
        <v>45966</v>
      </c>
      <c r="AB125" s="19">
        <v>47062</v>
      </c>
      <c r="AC125" s="38">
        <v>111200398890</v>
      </c>
      <c r="AD125" s="50"/>
      <c r="AE125" s="19">
        <v>46055</v>
      </c>
      <c r="AF125" s="346">
        <v>46785</v>
      </c>
      <c r="AG125" s="335">
        <f t="shared" si="21"/>
        <v>46785</v>
      </c>
      <c r="AH125" s="108"/>
      <c r="AI125">
        <v>67.25</v>
      </c>
    </row>
    <row r="126" spans="1:35">
      <c r="A126" s="357"/>
      <c r="B126" s="358" t="s">
        <v>882</v>
      </c>
      <c r="C126" s="359" t="s">
        <v>883</v>
      </c>
      <c r="D126" s="376">
        <v>24176</v>
      </c>
      <c r="E126" s="377">
        <f ca="1">IF(D126="","",($D$2-D126)/365.25)</f>
        <v>60.139630390143736</v>
      </c>
      <c r="F126" s="360" t="s">
        <v>884</v>
      </c>
      <c r="G126" s="361">
        <v>39400</v>
      </c>
      <c r="H126" s="359" t="s">
        <v>885</v>
      </c>
      <c r="I126" s="359"/>
      <c r="J126" s="378"/>
      <c r="K126" s="362" t="s">
        <v>886</v>
      </c>
      <c r="L126" s="379" t="s">
        <v>887</v>
      </c>
      <c r="M126" s="362" t="s">
        <v>888</v>
      </c>
      <c r="N126" s="362" t="s">
        <v>889</v>
      </c>
      <c r="O126" s="363" t="s">
        <v>64</v>
      </c>
      <c r="P126" s="174" t="s">
        <v>65</v>
      </c>
      <c r="Q126" s="173" t="s">
        <v>890</v>
      </c>
      <c r="R126" s="173" t="s">
        <v>67</v>
      </c>
      <c r="S126" s="173"/>
      <c r="T126" s="173" t="s">
        <v>68</v>
      </c>
      <c r="U126" s="174"/>
      <c r="V126" s="174"/>
      <c r="W126" s="174" t="s">
        <v>46</v>
      </c>
      <c r="X126" s="174" t="s">
        <v>47</v>
      </c>
      <c r="Y126" s="174"/>
      <c r="Z126" s="174"/>
      <c r="AA126" s="170">
        <v>45966</v>
      </c>
      <c r="AB126" s="170">
        <v>47062</v>
      </c>
      <c r="AC126" s="200">
        <v>111200398778</v>
      </c>
      <c r="AD126" s="50"/>
      <c r="AE126" s="70"/>
      <c r="AF126" s="222"/>
      <c r="AG126" s="335">
        <f t="shared" si="21"/>
        <v>47062</v>
      </c>
      <c r="AH126" s="108"/>
      <c r="AI126">
        <v>67.25</v>
      </c>
    </row>
    <row r="127" spans="1:35">
      <c r="A127" s="33"/>
      <c r="B127" s="33" t="s">
        <v>891</v>
      </c>
      <c r="C127" s="4" t="s">
        <v>892</v>
      </c>
      <c r="D127" s="19">
        <v>35450</v>
      </c>
      <c r="E127" s="46">
        <f t="shared" ca="1" si="24"/>
        <v>29.273100616016428</v>
      </c>
      <c r="F127" s="16" t="s">
        <v>893</v>
      </c>
      <c r="G127" s="14">
        <v>91150</v>
      </c>
      <c r="H127" s="4" t="s">
        <v>894</v>
      </c>
      <c r="I127" s="4"/>
      <c r="J127" s="4"/>
      <c r="K127" s="17" t="s">
        <v>895</v>
      </c>
      <c r="L127" s="17" t="s">
        <v>896</v>
      </c>
      <c r="M127" s="17" t="s">
        <v>860</v>
      </c>
      <c r="N127" s="17" t="s">
        <v>897</v>
      </c>
      <c r="O127" s="17" t="s">
        <v>898</v>
      </c>
      <c r="P127" s="17" t="s">
        <v>100</v>
      </c>
      <c r="Q127" s="4" t="s">
        <v>150</v>
      </c>
      <c r="R127" s="4" t="s">
        <v>67</v>
      </c>
      <c r="S127" s="4"/>
      <c r="T127" s="4" t="s">
        <v>68</v>
      </c>
      <c r="U127" s="17"/>
      <c r="V127" s="17"/>
      <c r="W127" s="17" t="s">
        <v>46</v>
      </c>
      <c r="X127" s="17" t="s">
        <v>47</v>
      </c>
      <c r="Y127" s="17" t="s">
        <v>48</v>
      </c>
      <c r="Z127" s="17"/>
      <c r="AA127" s="19">
        <v>45317</v>
      </c>
      <c r="AB127" s="19">
        <f t="shared" si="25"/>
        <v>46412.75</v>
      </c>
      <c r="AC127" s="38">
        <v>111200395555</v>
      </c>
      <c r="AD127" s="19">
        <v>45589</v>
      </c>
      <c r="AE127" s="50"/>
      <c r="AF127" s="62">
        <v>46319</v>
      </c>
      <c r="AG127" s="335">
        <f t="shared" si="21"/>
        <v>46319</v>
      </c>
      <c r="AH127" s="108"/>
      <c r="AI127" s="134">
        <v>63.8</v>
      </c>
    </row>
    <row r="128" spans="1:35">
      <c r="A128" s="33"/>
      <c r="B128" s="33" t="s">
        <v>899</v>
      </c>
      <c r="C128" s="4" t="s">
        <v>900</v>
      </c>
      <c r="D128" s="19">
        <v>24924</v>
      </c>
      <c r="E128" s="46">
        <f t="shared" ca="1" si="24"/>
        <v>58.091718001368925</v>
      </c>
      <c r="F128" s="16" t="s">
        <v>901</v>
      </c>
      <c r="G128" s="14">
        <v>94000</v>
      </c>
      <c r="H128" s="4" t="s">
        <v>902</v>
      </c>
      <c r="I128" s="4"/>
      <c r="J128" s="4"/>
      <c r="K128" s="17" t="s">
        <v>903</v>
      </c>
      <c r="L128" s="17" t="s">
        <v>498</v>
      </c>
      <c r="M128" s="17" t="s">
        <v>904</v>
      </c>
      <c r="N128" s="17" t="s">
        <v>905</v>
      </c>
      <c r="O128" s="17" t="s">
        <v>64</v>
      </c>
      <c r="P128" s="17" t="s">
        <v>65</v>
      </c>
      <c r="Q128" s="4" t="s">
        <v>906</v>
      </c>
      <c r="R128" s="4" t="s">
        <v>67</v>
      </c>
      <c r="S128" s="4"/>
      <c r="T128" s="4" t="s">
        <v>68</v>
      </c>
      <c r="U128" s="17"/>
      <c r="V128" s="17"/>
      <c r="W128" s="17" t="s">
        <v>46</v>
      </c>
      <c r="X128" s="17" t="s">
        <v>47</v>
      </c>
      <c r="Y128" s="17"/>
      <c r="Z128" s="17"/>
      <c r="AA128" s="19">
        <v>45428</v>
      </c>
      <c r="AB128" s="19">
        <v>46523</v>
      </c>
      <c r="AC128" s="38">
        <v>111200395826</v>
      </c>
      <c r="AD128" s="19">
        <v>46119</v>
      </c>
      <c r="AE128" s="50"/>
      <c r="AF128" s="62">
        <v>46850</v>
      </c>
      <c r="AG128" s="335">
        <f t="shared" si="21"/>
        <v>46523</v>
      </c>
      <c r="AH128" s="108"/>
      <c r="AI128" s="134">
        <v>64.75</v>
      </c>
    </row>
    <row r="129" spans="1:35">
      <c r="A129" s="56"/>
      <c r="B129" s="33" t="s">
        <v>907</v>
      </c>
      <c r="C129" s="4" t="s">
        <v>498</v>
      </c>
      <c r="D129" s="19">
        <v>34406</v>
      </c>
      <c r="E129" s="46">
        <f t="shared" ca="1" si="24"/>
        <v>32.131416837782339</v>
      </c>
      <c r="F129" s="16" t="s">
        <v>908</v>
      </c>
      <c r="G129" s="14">
        <v>92600</v>
      </c>
      <c r="H129" s="4" t="s">
        <v>909</v>
      </c>
      <c r="I129" s="4"/>
      <c r="J129" s="4"/>
      <c r="K129" s="17" t="s">
        <v>910</v>
      </c>
      <c r="L129" s="17" t="s">
        <v>541</v>
      </c>
      <c r="M129" s="17" t="s">
        <v>911</v>
      </c>
      <c r="N129" s="17" t="s">
        <v>912</v>
      </c>
      <c r="O129" s="17" t="s">
        <v>64</v>
      </c>
      <c r="P129" s="17" t="s">
        <v>65</v>
      </c>
      <c r="Q129" s="4" t="s">
        <v>425</v>
      </c>
      <c r="R129" s="4" t="s">
        <v>67</v>
      </c>
      <c r="S129" s="4"/>
      <c r="T129" s="4" t="s">
        <v>68</v>
      </c>
      <c r="U129" s="17"/>
      <c r="V129" s="17"/>
      <c r="W129" s="17" t="s">
        <v>46</v>
      </c>
      <c r="X129" s="17" t="s">
        <v>47</v>
      </c>
      <c r="Y129" s="17"/>
      <c r="Z129" s="17"/>
      <c r="AA129" s="19">
        <v>45700</v>
      </c>
      <c r="AB129" s="19">
        <f>IF(AA129="","",AA129+365.25*3)</f>
        <v>46795.75</v>
      </c>
      <c r="AC129" s="38">
        <v>111200397088</v>
      </c>
      <c r="AD129" s="19">
        <v>45741</v>
      </c>
      <c r="AE129" s="50"/>
      <c r="AF129" s="62">
        <v>46471</v>
      </c>
      <c r="AG129" s="335">
        <f t="shared" si="21"/>
        <v>46471</v>
      </c>
      <c r="AH129" s="108"/>
      <c r="AI129">
        <v>64.75</v>
      </c>
    </row>
    <row r="130" spans="1:35" ht="13.5" customHeight="1">
      <c r="A130" s="33"/>
      <c r="B130" s="33" t="s">
        <v>913</v>
      </c>
      <c r="C130" s="4" t="s">
        <v>914</v>
      </c>
      <c r="D130" s="19">
        <v>34081</v>
      </c>
      <c r="E130" s="46">
        <f t="shared" ca="1" si="24"/>
        <v>33.021218343600275</v>
      </c>
      <c r="F130" s="16" t="s">
        <v>915</v>
      </c>
      <c r="G130" s="14">
        <v>92190</v>
      </c>
      <c r="H130" s="4" t="s">
        <v>916</v>
      </c>
      <c r="I130" s="4"/>
      <c r="J130" s="4"/>
      <c r="K130" s="17" t="s">
        <v>917</v>
      </c>
      <c r="L130" s="17" t="s">
        <v>369</v>
      </c>
      <c r="M130" s="17" t="s">
        <v>918</v>
      </c>
      <c r="N130" s="17" t="s">
        <v>919</v>
      </c>
      <c r="O130" s="17" t="s">
        <v>64</v>
      </c>
      <c r="P130" s="17" t="s">
        <v>190</v>
      </c>
      <c r="Q130" s="4" t="s">
        <v>920</v>
      </c>
      <c r="R130" s="4" t="s">
        <v>67</v>
      </c>
      <c r="S130" s="4"/>
      <c r="T130" s="4" t="s">
        <v>68</v>
      </c>
      <c r="U130" s="17"/>
      <c r="V130" s="17"/>
      <c r="W130" s="17" t="s">
        <v>46</v>
      </c>
      <c r="X130" s="17" t="s">
        <v>47</v>
      </c>
      <c r="Y130" s="17"/>
      <c r="Z130" s="17"/>
      <c r="AA130" s="19">
        <v>45548</v>
      </c>
      <c r="AB130" s="19">
        <f>IF(AA130="","",AA130+365.25*3)</f>
        <v>46643.75</v>
      </c>
      <c r="AC130" s="38">
        <v>111200396302</v>
      </c>
      <c r="AD130" s="50"/>
      <c r="AE130" s="19">
        <v>45546</v>
      </c>
      <c r="AF130" s="62">
        <v>46278</v>
      </c>
      <c r="AG130" s="335">
        <f t="shared" si="21"/>
        <v>46278</v>
      </c>
      <c r="AH130" s="108"/>
      <c r="AI130" s="134">
        <v>64.75</v>
      </c>
    </row>
    <row r="131" spans="1:35">
      <c r="A131" s="56"/>
      <c r="B131" s="33" t="s">
        <v>921</v>
      </c>
      <c r="C131" s="4" t="s">
        <v>502</v>
      </c>
      <c r="D131" s="19">
        <v>30827</v>
      </c>
      <c r="E131" s="46">
        <f t="shared" ca="1" si="24"/>
        <v>41.930184804928132</v>
      </c>
      <c r="F131" s="16" t="s">
        <v>922</v>
      </c>
      <c r="G131" s="14">
        <v>78320</v>
      </c>
      <c r="H131" s="4" t="s">
        <v>543</v>
      </c>
      <c r="I131" s="4"/>
      <c r="J131" s="4"/>
      <c r="K131" s="17" t="s">
        <v>923</v>
      </c>
      <c r="L131" s="17" t="s">
        <v>289</v>
      </c>
      <c r="M131" s="17" t="s">
        <v>924</v>
      </c>
      <c r="N131" s="17" t="s">
        <v>215</v>
      </c>
      <c r="O131" s="17" t="s">
        <v>64</v>
      </c>
      <c r="P131" s="17" t="s">
        <v>65</v>
      </c>
      <c r="Q131" s="4" t="s">
        <v>349</v>
      </c>
      <c r="R131" s="4" t="s">
        <v>67</v>
      </c>
      <c r="S131" s="4"/>
      <c r="T131" s="4" t="s">
        <v>68</v>
      </c>
      <c r="U131" s="17"/>
      <c r="V131" s="17"/>
      <c r="W131" s="17" t="s">
        <v>46</v>
      </c>
      <c r="X131" s="17" t="s">
        <v>47</v>
      </c>
      <c r="Y131" s="17"/>
      <c r="Z131" s="17"/>
      <c r="AA131" s="19">
        <v>45401</v>
      </c>
      <c r="AB131" s="19">
        <f>IF(AA131="","",AA131+365.25*3)</f>
        <v>46496.75</v>
      </c>
      <c r="AC131" s="38">
        <v>111200395699</v>
      </c>
      <c r="AD131" s="50"/>
      <c r="AE131" s="19">
        <v>45415</v>
      </c>
      <c r="AF131" s="62">
        <v>46191</v>
      </c>
      <c r="AG131" s="335">
        <f t="shared" si="21"/>
        <v>46191</v>
      </c>
      <c r="AH131" s="108" t="s">
        <v>367</v>
      </c>
      <c r="AI131" s="134">
        <v>64.75</v>
      </c>
    </row>
    <row r="132" spans="1:35" hidden="1">
      <c r="A132" s="148"/>
      <c r="B132" s="179" t="s">
        <v>925</v>
      </c>
      <c r="C132" s="108" t="s">
        <v>926</v>
      </c>
      <c r="D132" s="109">
        <v>37627</v>
      </c>
      <c r="E132" s="94">
        <f ca="1">IF(D132="","",($D$2-D132)/365.25)</f>
        <v>23.312799452429843</v>
      </c>
      <c r="F132" s="349" t="s">
        <v>927</v>
      </c>
      <c r="G132" s="111">
        <v>50100</v>
      </c>
      <c r="H132" s="108" t="s">
        <v>928</v>
      </c>
      <c r="I132" s="380" t="s">
        <v>929</v>
      </c>
      <c r="J132" s="372" t="s">
        <v>930</v>
      </c>
      <c r="K132" s="347" t="s">
        <v>931</v>
      </c>
      <c r="L132" s="347" t="s">
        <v>20</v>
      </c>
      <c r="M132" s="347" t="s">
        <v>932</v>
      </c>
      <c r="N132" s="347" t="s">
        <v>933</v>
      </c>
      <c r="O132" s="112" t="s">
        <v>64</v>
      </c>
      <c r="P132" s="112" t="s">
        <v>65</v>
      </c>
      <c r="Q132" s="108" t="s">
        <v>274</v>
      </c>
      <c r="R132" s="108" t="s">
        <v>934</v>
      </c>
      <c r="S132" s="109">
        <v>46266</v>
      </c>
      <c r="T132" s="402" t="s">
        <v>68</v>
      </c>
      <c r="U132" s="112"/>
      <c r="V132" s="112"/>
      <c r="W132" s="112" t="s">
        <v>46</v>
      </c>
      <c r="X132" s="112" t="s">
        <v>47</v>
      </c>
      <c r="Y132" s="112"/>
      <c r="Z132" s="112"/>
      <c r="AA132" s="109">
        <v>46028</v>
      </c>
      <c r="AB132" s="109">
        <v>46235</v>
      </c>
      <c r="AC132" s="132">
        <v>111200399079</v>
      </c>
      <c r="AD132" s="86"/>
      <c r="AE132" s="109">
        <v>46104</v>
      </c>
      <c r="AF132" s="146">
        <v>46835</v>
      </c>
      <c r="AG132" s="335">
        <f t="shared" si="21"/>
        <v>46235</v>
      </c>
      <c r="AH132" s="108"/>
      <c r="AI132">
        <v>67.25</v>
      </c>
    </row>
    <row r="133" spans="1:35" ht="30">
      <c r="A133" s="144"/>
      <c r="B133" s="143" t="s">
        <v>935</v>
      </c>
      <c r="C133" s="91" t="s">
        <v>936</v>
      </c>
      <c r="D133" s="95">
        <v>33837</v>
      </c>
      <c r="E133" s="94">
        <f t="shared" ca="1" si="24"/>
        <v>33.68925393566051</v>
      </c>
      <c r="F133" s="96" t="s">
        <v>937</v>
      </c>
      <c r="G133" s="99">
        <v>92200</v>
      </c>
      <c r="H133" s="91" t="s">
        <v>938</v>
      </c>
      <c r="I133" s="91"/>
      <c r="J133" s="91"/>
      <c r="K133" s="90" t="s">
        <v>939</v>
      </c>
      <c r="L133" s="90" t="s">
        <v>940</v>
      </c>
      <c r="M133" s="90" t="s">
        <v>941</v>
      </c>
      <c r="N133" s="90" t="s">
        <v>942</v>
      </c>
      <c r="O133" s="90" t="s">
        <v>64</v>
      </c>
      <c r="P133" s="90" t="s">
        <v>65</v>
      </c>
      <c r="Q133" s="91" t="s">
        <v>943</v>
      </c>
      <c r="R133" s="91" t="s">
        <v>67</v>
      </c>
      <c r="S133" s="91"/>
      <c r="T133" s="91" t="s">
        <v>68</v>
      </c>
      <c r="U133" s="91"/>
      <c r="V133" s="91"/>
      <c r="W133" s="90" t="s">
        <v>46</v>
      </c>
      <c r="X133" s="90" t="s">
        <v>47</v>
      </c>
      <c r="Y133" s="91"/>
      <c r="Z133" s="91"/>
      <c r="AA133" s="92">
        <v>45415</v>
      </c>
      <c r="AB133" s="92">
        <v>46510</v>
      </c>
      <c r="AC133" s="142">
        <v>111200395818</v>
      </c>
      <c r="AD133" s="119"/>
      <c r="AE133" s="92">
        <v>45455</v>
      </c>
      <c r="AF133" s="145">
        <v>46206</v>
      </c>
      <c r="AG133" s="335">
        <f t="shared" si="21"/>
        <v>46206</v>
      </c>
      <c r="AH133" s="91"/>
      <c r="AI133" s="136">
        <v>64.75</v>
      </c>
    </row>
    <row r="134" spans="1:35" s="93" customFormat="1">
      <c r="A134" s="56"/>
      <c r="B134" s="33" t="s">
        <v>944</v>
      </c>
      <c r="C134" s="4" t="s">
        <v>945</v>
      </c>
      <c r="D134" s="19">
        <v>24506</v>
      </c>
      <c r="E134" s="46">
        <f t="shared" ca="1" si="24"/>
        <v>59.236139630390142</v>
      </c>
      <c r="F134" s="16" t="s">
        <v>946</v>
      </c>
      <c r="G134" s="14">
        <v>34420</v>
      </c>
      <c r="H134" s="4" t="s">
        <v>947</v>
      </c>
      <c r="I134" s="4"/>
      <c r="J134" s="4"/>
      <c r="K134" s="17" t="s">
        <v>948</v>
      </c>
      <c r="L134" s="17" t="s">
        <v>949</v>
      </c>
      <c r="M134" s="17" t="s">
        <v>950</v>
      </c>
      <c r="N134" s="17" t="s">
        <v>951</v>
      </c>
      <c r="O134" s="17" t="s">
        <v>64</v>
      </c>
      <c r="P134" s="17" t="s">
        <v>65</v>
      </c>
      <c r="Q134" s="4" t="s">
        <v>101</v>
      </c>
      <c r="R134" s="4" t="s">
        <v>67</v>
      </c>
      <c r="S134" s="4"/>
      <c r="T134" s="4" t="s">
        <v>68</v>
      </c>
      <c r="U134" s="17"/>
      <c r="V134" s="17"/>
      <c r="W134" s="17" t="s">
        <v>46</v>
      </c>
      <c r="X134" s="17" t="s">
        <v>47</v>
      </c>
      <c r="Y134" s="17"/>
      <c r="Z134" s="17"/>
      <c r="AA134" s="19">
        <v>45338</v>
      </c>
      <c r="AB134" s="19">
        <f>IF(AA134="","",AA134+365.25*3)</f>
        <v>46433.75</v>
      </c>
      <c r="AC134" s="38">
        <v>111200395422</v>
      </c>
      <c r="AD134" s="19">
        <v>45573</v>
      </c>
      <c r="AE134" s="50"/>
      <c r="AF134" s="62">
        <v>46303</v>
      </c>
      <c r="AG134" s="335">
        <f t="shared" si="21"/>
        <v>46303</v>
      </c>
      <c r="AH134" s="108"/>
      <c r="AI134" s="134">
        <v>63.8</v>
      </c>
    </row>
    <row r="135" spans="1:35">
      <c r="A135" s="56"/>
      <c r="B135" s="33" t="s">
        <v>952</v>
      </c>
      <c r="C135" s="4" t="s">
        <v>286</v>
      </c>
      <c r="D135" s="19">
        <v>34754</v>
      </c>
      <c r="E135" s="46">
        <f t="shared" ca="1" si="24"/>
        <v>31.178644763860369</v>
      </c>
      <c r="F135" s="16" t="s">
        <v>953</v>
      </c>
      <c r="G135" s="14">
        <v>16500</v>
      </c>
      <c r="H135" s="4" t="s">
        <v>954</v>
      </c>
      <c r="I135" s="4"/>
      <c r="J135" s="4"/>
      <c r="K135" s="17" t="s">
        <v>955</v>
      </c>
      <c r="L135" s="17" t="s">
        <v>956</v>
      </c>
      <c r="M135" s="17" t="s">
        <v>957</v>
      </c>
      <c r="N135" s="17" t="s">
        <v>880</v>
      </c>
      <c r="O135" s="17" t="s">
        <v>64</v>
      </c>
      <c r="P135" s="17" t="s">
        <v>65</v>
      </c>
      <c r="Q135" s="4" t="s">
        <v>425</v>
      </c>
      <c r="R135" s="4" t="s">
        <v>67</v>
      </c>
      <c r="S135" s="4"/>
      <c r="T135" s="4" t="s">
        <v>68</v>
      </c>
      <c r="U135" s="17"/>
      <c r="V135" s="17"/>
      <c r="W135" s="17" t="s">
        <v>46</v>
      </c>
      <c r="X135" s="17" t="s">
        <v>47</v>
      </c>
      <c r="Y135" s="17"/>
      <c r="Z135" s="17"/>
      <c r="AA135" s="19">
        <v>45377</v>
      </c>
      <c r="AB135" s="19">
        <v>46472</v>
      </c>
      <c r="AC135" s="38">
        <v>111200395765</v>
      </c>
      <c r="AD135" s="19">
        <v>45478</v>
      </c>
      <c r="AE135" s="50"/>
      <c r="AF135" s="62">
        <v>46208</v>
      </c>
      <c r="AG135" s="335">
        <f t="shared" si="21"/>
        <v>46208</v>
      </c>
      <c r="AH135" s="108"/>
      <c r="AI135" s="134">
        <v>63.8</v>
      </c>
    </row>
    <row r="136" spans="1:35">
      <c r="A136" s="248"/>
      <c r="B136" s="300" t="s">
        <v>958</v>
      </c>
      <c r="C136" s="4" t="s">
        <v>346</v>
      </c>
      <c r="D136" s="43">
        <v>34251</v>
      </c>
      <c r="E136" s="46">
        <f ca="1">IF(D136="","",($D$2-D136)/365.25)</f>
        <v>32.555783709787818</v>
      </c>
      <c r="F136" s="16" t="s">
        <v>959</v>
      </c>
      <c r="G136" s="14">
        <v>38150</v>
      </c>
      <c r="H136" s="4" t="s">
        <v>960</v>
      </c>
      <c r="I136" s="4"/>
      <c r="J136" s="4"/>
      <c r="K136" s="17" t="s">
        <v>961</v>
      </c>
      <c r="L136" s="17" t="s">
        <v>158</v>
      </c>
      <c r="M136" s="17" t="s">
        <v>962</v>
      </c>
      <c r="N136" s="17" t="s">
        <v>963</v>
      </c>
      <c r="O136" s="17" t="s">
        <v>64</v>
      </c>
      <c r="P136" s="17" t="s">
        <v>65</v>
      </c>
      <c r="Q136" s="4" t="s">
        <v>730</v>
      </c>
      <c r="R136" s="4" t="s">
        <v>67</v>
      </c>
      <c r="S136" s="4"/>
      <c r="T136" s="4" t="s">
        <v>68</v>
      </c>
      <c r="U136" s="17"/>
      <c r="V136" s="17"/>
      <c r="W136" s="17" t="s">
        <v>46</v>
      </c>
      <c r="X136" s="17" t="s">
        <v>47</v>
      </c>
      <c r="Y136" s="17"/>
      <c r="Z136" s="17"/>
      <c r="AA136" s="19">
        <v>45761</v>
      </c>
      <c r="AB136" s="19">
        <f>IF(AA136="","",AA136+365.25*3)</f>
        <v>46856.75</v>
      </c>
      <c r="AC136" s="38">
        <v>111200397373</v>
      </c>
      <c r="AD136" s="70"/>
      <c r="AE136" s="50"/>
      <c r="AF136" s="19"/>
      <c r="AG136" s="335">
        <f t="shared" si="21"/>
        <v>46856.75</v>
      </c>
      <c r="AH136" s="108"/>
      <c r="AI136">
        <v>67.25</v>
      </c>
    </row>
    <row r="137" spans="1:35">
      <c r="A137" s="56"/>
      <c r="B137" s="33" t="s">
        <v>964</v>
      </c>
      <c r="C137" s="4" t="s">
        <v>226</v>
      </c>
      <c r="D137" s="19">
        <v>36072</v>
      </c>
      <c r="E137" s="46">
        <f t="shared" ca="1" si="24"/>
        <v>27.570157426420259</v>
      </c>
      <c r="F137" s="16" t="s">
        <v>965</v>
      </c>
      <c r="G137" s="14">
        <v>75006</v>
      </c>
      <c r="H137" s="4" t="s">
        <v>165</v>
      </c>
      <c r="I137" s="4"/>
      <c r="J137" s="4"/>
      <c r="K137" s="17" t="s">
        <v>966</v>
      </c>
      <c r="L137" s="17" t="s">
        <v>342</v>
      </c>
      <c r="M137" s="17" t="s">
        <v>967</v>
      </c>
      <c r="N137" s="17" t="s">
        <v>968</v>
      </c>
      <c r="O137" s="17" t="s">
        <v>64</v>
      </c>
      <c r="P137" s="17" t="s">
        <v>65</v>
      </c>
      <c r="Q137" s="4" t="s">
        <v>969</v>
      </c>
      <c r="R137" s="4" t="s">
        <v>67</v>
      </c>
      <c r="S137" s="4"/>
      <c r="T137" s="4" t="s">
        <v>68</v>
      </c>
      <c r="U137" s="17"/>
      <c r="V137" s="17"/>
      <c r="W137" s="17" t="s">
        <v>46</v>
      </c>
      <c r="X137" s="17" t="s">
        <v>47</v>
      </c>
      <c r="Y137" s="17"/>
      <c r="Z137" s="17"/>
      <c r="AA137" s="19">
        <v>45564</v>
      </c>
      <c r="AB137" s="19">
        <f>IF(AA137="","",AA137+365.25*3)</f>
        <v>46659.75</v>
      </c>
      <c r="AC137" s="38">
        <v>111200396392</v>
      </c>
      <c r="AD137" s="75"/>
      <c r="AE137" s="164">
        <v>45580</v>
      </c>
      <c r="AF137" s="62">
        <v>46313</v>
      </c>
      <c r="AG137" s="335">
        <f t="shared" si="21"/>
        <v>46313</v>
      </c>
      <c r="AH137" s="108"/>
      <c r="AI137" s="134">
        <v>64.75</v>
      </c>
    </row>
    <row r="138" spans="1:35">
      <c r="A138" s="56"/>
      <c r="B138" s="33" t="s">
        <v>970</v>
      </c>
      <c r="C138" s="4" t="s">
        <v>971</v>
      </c>
      <c r="D138" s="19">
        <v>36816</v>
      </c>
      <c r="E138" s="46">
        <f ca="1">IF(D138="","",($D$2-D138)/365.25)</f>
        <v>25.533196440793976</v>
      </c>
      <c r="F138" s="16" t="s">
        <v>972</v>
      </c>
      <c r="G138" s="14">
        <v>94270</v>
      </c>
      <c r="H138" s="4" t="s">
        <v>973</v>
      </c>
      <c r="I138" s="4"/>
      <c r="J138" s="4"/>
      <c r="K138" s="17" t="s">
        <v>974</v>
      </c>
      <c r="L138" s="17" t="s">
        <v>900</v>
      </c>
      <c r="M138" s="17" t="s">
        <v>975</v>
      </c>
      <c r="N138" s="17" t="s">
        <v>933</v>
      </c>
      <c r="O138" s="17" t="s">
        <v>64</v>
      </c>
      <c r="P138" s="17" t="s">
        <v>65</v>
      </c>
      <c r="Q138" s="4" t="s">
        <v>509</v>
      </c>
      <c r="R138" s="4" t="s">
        <v>67</v>
      </c>
      <c r="S138" s="4"/>
      <c r="T138" s="4" t="s">
        <v>68</v>
      </c>
      <c r="U138" s="17"/>
      <c r="V138" s="17"/>
      <c r="W138" s="17" t="s">
        <v>46</v>
      </c>
      <c r="X138" s="17" t="s">
        <v>47</v>
      </c>
      <c r="Y138" s="17"/>
      <c r="Z138" s="17"/>
      <c r="AA138" s="19">
        <v>45797</v>
      </c>
      <c r="AB138" s="19">
        <f>IF(AA138="","",AA138+365.25*3)</f>
        <v>46892.75</v>
      </c>
      <c r="AC138" s="38">
        <v>111200397568</v>
      </c>
      <c r="AD138" s="19">
        <v>45841</v>
      </c>
      <c r="AE138" s="50"/>
      <c r="AF138" s="62">
        <v>46571</v>
      </c>
      <c r="AG138" s="335">
        <f t="shared" si="21"/>
        <v>46571</v>
      </c>
      <c r="AH138" s="108"/>
      <c r="AI138">
        <v>67.25</v>
      </c>
    </row>
    <row r="139" spans="1:35" hidden="1"/>
    <row r="140" spans="1:35" hidden="1">
      <c r="B140" s="18">
        <f>SUBTOTAL(3,B36:B139)</f>
        <v>102</v>
      </c>
      <c r="T140" s="18">
        <f>SUBTOTAL(3,T36:T139)</f>
        <v>102</v>
      </c>
      <c r="U140" s="18">
        <f>SUBTOTAL(3,U40:U174)</f>
        <v>33</v>
      </c>
      <c r="AD140" s="18">
        <f>SUBTOTAL(3,AD36:AD139)</f>
        <v>54</v>
      </c>
      <c r="AE140" s="18">
        <f>SUBTOTAL(3,AE36:AE139)</f>
        <v>39</v>
      </c>
    </row>
    <row r="141" spans="1:35" hidden="1">
      <c r="A141" s="230"/>
      <c r="B141" t="s">
        <v>976</v>
      </c>
    </row>
    <row r="143" spans="1:35">
      <c r="A143" s="448" t="s">
        <v>977</v>
      </c>
      <c r="B143" s="448"/>
      <c r="C143" s="448"/>
      <c r="D143" s="448"/>
      <c r="E143" s="448"/>
      <c r="F143" s="448"/>
      <c r="G143" s="448"/>
      <c r="H143" s="448"/>
      <c r="I143" s="448"/>
      <c r="J143" s="448"/>
      <c r="K143" s="448"/>
      <c r="L143" s="448"/>
      <c r="M143" s="448"/>
      <c r="N143" s="448"/>
      <c r="O143" s="448"/>
      <c r="P143" s="448"/>
      <c r="Q143" s="448"/>
      <c r="R143" s="448"/>
      <c r="S143" s="448"/>
      <c r="T143" s="448"/>
      <c r="U143" s="448"/>
      <c r="V143" s="448"/>
      <c r="W143" s="448"/>
      <c r="X143" s="448"/>
      <c r="Y143" s="448"/>
      <c r="Z143" s="448"/>
      <c r="AA143" s="448"/>
      <c r="AB143" s="448"/>
      <c r="AC143" s="448"/>
      <c r="AD143" s="448"/>
      <c r="AE143" s="448"/>
      <c r="AF143" s="448"/>
      <c r="AG143" s="448"/>
      <c r="AH143" s="448"/>
    </row>
    <row r="144" spans="1:35" ht="45">
      <c r="A144" s="37"/>
      <c r="B144" s="20" t="s">
        <v>29</v>
      </c>
      <c r="C144" s="20" t="s">
        <v>30</v>
      </c>
      <c r="D144" s="21" t="s">
        <v>31</v>
      </c>
      <c r="E144" s="44" t="s">
        <v>32</v>
      </c>
      <c r="F144" s="442" t="s">
        <v>33</v>
      </c>
      <c r="G144" s="443"/>
      <c r="H144" s="444"/>
      <c r="I144" s="367"/>
      <c r="J144" s="367"/>
      <c r="K144" s="442" t="s">
        <v>36</v>
      </c>
      <c r="L144" s="444"/>
      <c r="M144" s="442" t="s">
        <v>37</v>
      </c>
      <c r="N144" s="444"/>
      <c r="O144" s="20" t="s">
        <v>38</v>
      </c>
      <c r="P144" s="20" t="s">
        <v>39</v>
      </c>
      <c r="Q144" s="20" t="s">
        <v>40</v>
      </c>
      <c r="R144" s="21" t="s">
        <v>41</v>
      </c>
      <c r="S144" s="21" t="s">
        <v>42</v>
      </c>
      <c r="T144" s="22" t="s">
        <v>43</v>
      </c>
      <c r="U144" s="22" t="s">
        <v>44</v>
      </c>
      <c r="V144" s="22" t="s">
        <v>45</v>
      </c>
      <c r="W144" s="22" t="s">
        <v>46</v>
      </c>
      <c r="X144" s="22" t="s">
        <v>47</v>
      </c>
      <c r="Y144" s="22" t="s">
        <v>48</v>
      </c>
      <c r="Z144" s="22" t="s">
        <v>49</v>
      </c>
      <c r="AA144" s="22" t="s">
        <v>50</v>
      </c>
      <c r="AB144" s="22" t="s">
        <v>51</v>
      </c>
      <c r="AC144" s="83" t="s">
        <v>52</v>
      </c>
      <c r="AD144" s="51" t="s">
        <v>53</v>
      </c>
      <c r="AE144" s="51" t="s">
        <v>54</v>
      </c>
      <c r="AF144" s="51" t="s">
        <v>50</v>
      </c>
      <c r="AG144" s="71" t="s">
        <v>51</v>
      </c>
      <c r="AH144" s="105" t="s">
        <v>978</v>
      </c>
      <c r="AI144" s="138" t="s">
        <v>979</v>
      </c>
    </row>
    <row r="145" spans="1:37">
      <c r="A145" s="304"/>
      <c r="B145" s="305" t="s">
        <v>980</v>
      </c>
      <c r="C145" s="305" t="s">
        <v>981</v>
      </c>
      <c r="D145" s="270">
        <v>37840</v>
      </c>
      <c r="E145" s="94">
        <f ca="1">IF(D145="","",($D$2-D145)/365.25)</f>
        <v>22.729637234770706</v>
      </c>
      <c r="F145" s="267" t="s">
        <v>982</v>
      </c>
      <c r="G145" s="283">
        <v>94110</v>
      </c>
      <c r="H145" s="267" t="s">
        <v>983</v>
      </c>
      <c r="I145" s="267"/>
      <c r="J145" s="267"/>
      <c r="K145" s="90" t="s">
        <v>984</v>
      </c>
      <c r="L145" s="90" t="s">
        <v>613</v>
      </c>
      <c r="M145" s="90" t="s">
        <v>985</v>
      </c>
      <c r="N145" s="90" t="s">
        <v>963</v>
      </c>
      <c r="O145" s="90" t="s">
        <v>64</v>
      </c>
      <c r="P145" s="90" t="s">
        <v>190</v>
      </c>
      <c r="Q145" s="306" t="s">
        <v>986</v>
      </c>
      <c r="R145" s="306" t="s">
        <v>987</v>
      </c>
      <c r="S145" s="307">
        <v>45893</v>
      </c>
      <c r="T145" s="308" t="s">
        <v>68</v>
      </c>
      <c r="U145" s="90"/>
      <c r="V145" s="90"/>
      <c r="W145" s="90" t="s">
        <v>46</v>
      </c>
      <c r="X145" s="90" t="s">
        <v>47</v>
      </c>
      <c r="Y145" s="284"/>
      <c r="Z145" s="90"/>
      <c r="AA145" s="307">
        <v>45755</v>
      </c>
      <c r="AB145" s="74">
        <f>IF(AA145="","",AA145+365.25*3)</f>
        <v>46850.75</v>
      </c>
      <c r="AC145" s="309">
        <v>111200397435</v>
      </c>
      <c r="AD145" s="168"/>
      <c r="AE145" s="307">
        <v>45754</v>
      </c>
      <c r="AF145" s="310">
        <v>45771</v>
      </c>
      <c r="AG145" s="229">
        <f>IF(AD145="",IF(AE145="","",AF145+365.25*2),AF145+365.25*2)</f>
        <v>46501.5</v>
      </c>
      <c r="AH145" s="100">
        <v>45891</v>
      </c>
      <c r="AI145" s="101">
        <v>45896</v>
      </c>
    </row>
    <row r="146" spans="1:37" s="15" customFormat="1">
      <c r="A146" s="72"/>
      <c r="B146" s="231" t="s">
        <v>988</v>
      </c>
      <c r="C146" s="73" t="s">
        <v>342</v>
      </c>
      <c r="D146" s="19">
        <v>26544</v>
      </c>
      <c r="E146" s="46">
        <f ca="1">IF(D146="","",($D$2-D146)/365.25)</f>
        <v>53.656399726214921</v>
      </c>
      <c r="F146" s="16" t="s">
        <v>989</v>
      </c>
      <c r="G146" s="14">
        <v>3100</v>
      </c>
      <c r="H146" s="4" t="s">
        <v>990</v>
      </c>
      <c r="I146" s="4"/>
      <c r="J146" s="4"/>
      <c r="K146" s="17" t="s">
        <v>991</v>
      </c>
      <c r="L146" s="17" t="s">
        <v>992</v>
      </c>
      <c r="M146" s="17" t="s">
        <v>993</v>
      </c>
      <c r="N146" s="17" t="s">
        <v>994</v>
      </c>
      <c r="O146" s="17" t="s">
        <v>64</v>
      </c>
      <c r="P146" s="17" t="s">
        <v>65</v>
      </c>
      <c r="Q146" s="73" t="s">
        <v>121</v>
      </c>
      <c r="R146" s="73" t="s">
        <v>67</v>
      </c>
      <c r="S146" s="73"/>
      <c r="T146" s="73" t="s">
        <v>68</v>
      </c>
      <c r="U146" s="17" t="s">
        <v>44</v>
      </c>
      <c r="V146" s="17"/>
      <c r="W146" s="17" t="s">
        <v>46</v>
      </c>
      <c r="X146" s="17" t="s">
        <v>47</v>
      </c>
      <c r="Y146" s="17"/>
      <c r="Z146" s="17"/>
      <c r="AA146" s="74">
        <v>45332</v>
      </c>
      <c r="AB146" s="74">
        <f>IF(AA146="","",AA146+365.25*3)</f>
        <v>46427.75</v>
      </c>
      <c r="AC146" s="72">
        <v>111100689514</v>
      </c>
      <c r="AD146" s="74"/>
      <c r="AE146" s="141">
        <v>45455</v>
      </c>
      <c r="AF146" s="74">
        <v>45475</v>
      </c>
      <c r="AG146" s="104">
        <f>IF(AD146="",IF(AE146="","",AF146+365.25*2),AF146+365.25*2)</f>
        <v>46205.5</v>
      </c>
      <c r="AH146" s="100">
        <v>45771</v>
      </c>
      <c r="AI146" s="337">
        <v>45771</v>
      </c>
      <c r="AJ146" s="15" t="s">
        <v>995</v>
      </c>
    </row>
    <row r="147" spans="1:37">
      <c r="A147" s="72"/>
      <c r="B147" s="231" t="s">
        <v>996</v>
      </c>
      <c r="C147" s="73" t="s">
        <v>997</v>
      </c>
      <c r="D147" s="74">
        <v>37738</v>
      </c>
      <c r="E147" s="324">
        <f ca="1">IF(D147="","",($D$2-D147)/365.25)</f>
        <v>23.008898015058179</v>
      </c>
      <c r="F147" s="325" t="s">
        <v>998</v>
      </c>
      <c r="G147" s="326">
        <v>78000</v>
      </c>
      <c r="H147" s="73" t="s">
        <v>999</v>
      </c>
      <c r="I147" s="73"/>
      <c r="J147" s="73"/>
      <c r="K147" s="140" t="s">
        <v>1000</v>
      </c>
      <c r="L147" s="140" t="s">
        <v>427</v>
      </c>
      <c r="M147" s="140" t="s">
        <v>1001</v>
      </c>
      <c r="N147" s="140" t="s">
        <v>1002</v>
      </c>
      <c r="O147" s="140" t="s">
        <v>64</v>
      </c>
      <c r="P147" s="140" t="s">
        <v>65</v>
      </c>
      <c r="Q147" s="73" t="s">
        <v>1003</v>
      </c>
      <c r="R147" s="73" t="s">
        <v>358</v>
      </c>
      <c r="S147" s="73"/>
      <c r="T147" s="73" t="s">
        <v>68</v>
      </c>
      <c r="U147" s="17"/>
      <c r="V147" s="17"/>
      <c r="W147" s="17" t="s">
        <v>46</v>
      </c>
      <c r="X147" s="17" t="s">
        <v>47</v>
      </c>
      <c r="Y147" s="17"/>
      <c r="Z147" s="17"/>
      <c r="AA147" s="74">
        <v>45303</v>
      </c>
      <c r="AB147" s="74">
        <v>46203</v>
      </c>
      <c r="AC147" s="72">
        <v>111200395418</v>
      </c>
      <c r="AD147" s="74"/>
      <c r="AE147" s="74">
        <v>45371</v>
      </c>
      <c r="AF147" s="74">
        <v>46120</v>
      </c>
      <c r="AG147" s="214">
        <f>MIN(AB147,AF147)</f>
        <v>46120</v>
      </c>
      <c r="AH147" s="221">
        <v>46097</v>
      </c>
      <c r="AI147" s="101">
        <v>46097</v>
      </c>
      <c r="AJ147" t="s">
        <v>1004</v>
      </c>
    </row>
    <row r="148" spans="1:37">
      <c r="A148" s="72"/>
      <c r="B148" s="73" t="s">
        <v>1005</v>
      </c>
      <c r="C148" s="73" t="s">
        <v>1006</v>
      </c>
      <c r="D148" s="19">
        <v>32589</v>
      </c>
      <c r="E148" s="46">
        <f t="shared" ref="E148:E175" ca="1" si="26">IF(D148="","",($D$2-D148)/365.25)</f>
        <v>37.106091718001366</v>
      </c>
      <c r="F148" s="16" t="s">
        <v>1007</v>
      </c>
      <c r="G148" s="14">
        <v>92230</v>
      </c>
      <c r="H148" s="4" t="s">
        <v>1008</v>
      </c>
      <c r="I148" s="4"/>
      <c r="J148" s="4"/>
      <c r="K148" s="17" t="s">
        <v>1009</v>
      </c>
      <c r="L148" s="17" t="s">
        <v>1010</v>
      </c>
      <c r="M148" s="17" t="s">
        <v>1011</v>
      </c>
      <c r="N148" s="17" t="s">
        <v>1012</v>
      </c>
      <c r="O148" s="17" t="s">
        <v>64</v>
      </c>
      <c r="P148" s="17" t="s">
        <v>65</v>
      </c>
      <c r="Q148" s="73" t="s">
        <v>121</v>
      </c>
      <c r="R148" s="73" t="s">
        <v>67</v>
      </c>
      <c r="S148" s="73"/>
      <c r="T148" s="73" t="s">
        <v>68</v>
      </c>
      <c r="U148" s="17" t="s">
        <v>44</v>
      </c>
      <c r="V148" s="17"/>
      <c r="W148" s="17" t="s">
        <v>46</v>
      </c>
      <c r="X148" s="17" t="s">
        <v>47</v>
      </c>
      <c r="Y148" s="17"/>
      <c r="Z148" s="17"/>
      <c r="AA148" s="74">
        <v>45329</v>
      </c>
      <c r="AB148" s="74">
        <f t="shared" ref="AB148:AB175" si="27">IF(AA148="","",AA148+365.25*3)</f>
        <v>46424.75</v>
      </c>
      <c r="AC148" s="72">
        <v>111100689394</v>
      </c>
      <c r="AD148" s="74"/>
      <c r="AE148" s="102"/>
      <c r="AF148" s="74"/>
      <c r="AG148" s="104"/>
      <c r="AH148" s="103"/>
      <c r="AI148" s="168" t="s">
        <v>1013</v>
      </c>
      <c r="AJ148" t="s">
        <v>1004</v>
      </c>
    </row>
    <row r="149" spans="1:37">
      <c r="A149" s="72"/>
      <c r="B149" s="157" t="s">
        <v>1014</v>
      </c>
      <c r="C149" s="157" t="s">
        <v>1015</v>
      </c>
      <c r="D149" s="158">
        <v>33670</v>
      </c>
      <c r="E149" s="427">
        <f ca="1">IF(D149="","",($D$2-D149)/365.25)</f>
        <v>34.14647501711157</v>
      </c>
      <c r="F149" s="428" t="s">
        <v>1016</v>
      </c>
      <c r="G149" s="429">
        <v>93460</v>
      </c>
      <c r="H149" s="157" t="s">
        <v>1017</v>
      </c>
      <c r="I149" s="157"/>
      <c r="J149" s="157"/>
      <c r="K149" s="213" t="s">
        <v>1018</v>
      </c>
      <c r="L149" s="213" t="s">
        <v>1019</v>
      </c>
      <c r="M149" s="213" t="s">
        <v>1020</v>
      </c>
      <c r="N149" s="213" t="s">
        <v>1021</v>
      </c>
      <c r="O149" s="213" t="s">
        <v>64</v>
      </c>
      <c r="P149" s="213" t="s">
        <v>65</v>
      </c>
      <c r="Q149" s="157" t="s">
        <v>425</v>
      </c>
      <c r="R149" s="157" t="s">
        <v>67</v>
      </c>
      <c r="S149" s="157"/>
      <c r="T149" s="157" t="s">
        <v>68</v>
      </c>
      <c r="U149" s="213"/>
      <c r="V149" s="213"/>
      <c r="W149" s="213" t="s">
        <v>46</v>
      </c>
      <c r="X149" s="213" t="s">
        <v>47</v>
      </c>
      <c r="Y149" s="213"/>
      <c r="Z149" s="213"/>
      <c r="AA149" s="158">
        <v>45337</v>
      </c>
      <c r="AB149" s="158">
        <f>IF(AA149="","",AA149+365.25*3)</f>
        <v>46432.75</v>
      </c>
      <c r="AC149" s="156">
        <v>111200395442</v>
      </c>
      <c r="AD149" s="158">
        <v>45449</v>
      </c>
      <c r="AE149" s="158"/>
      <c r="AF149" s="158">
        <v>46179</v>
      </c>
      <c r="AG149" s="214">
        <f>MIN(AB149,AF149)</f>
        <v>46179</v>
      </c>
      <c r="AH149" s="100">
        <v>46122</v>
      </c>
      <c r="AI149" s="430"/>
      <c r="AJ149" t="s">
        <v>1004</v>
      </c>
    </row>
    <row r="150" spans="1:37">
      <c r="A150" s="161"/>
      <c r="B150" s="103" t="s">
        <v>1022</v>
      </c>
      <c r="C150" s="103" t="s">
        <v>1023</v>
      </c>
      <c r="D150" s="100">
        <v>27555</v>
      </c>
      <c r="E150" s="312">
        <f t="shared" ref="E150" ca="1" si="28">IF(D150="","",($D$2-D150)/365.25)</f>
        <v>50.888432580424364</v>
      </c>
      <c r="F150" s="408" t="s">
        <v>1024</v>
      </c>
      <c r="G150" s="314">
        <v>91380</v>
      </c>
      <c r="H150" s="408" t="s">
        <v>1025</v>
      </c>
      <c r="I150" s="408"/>
      <c r="J150" s="409"/>
      <c r="K150" s="410" t="s">
        <v>1026</v>
      </c>
      <c r="L150" s="410" t="s">
        <v>1027</v>
      </c>
      <c r="M150" s="410" t="s">
        <v>1028</v>
      </c>
      <c r="N150" s="410" t="s">
        <v>1029</v>
      </c>
      <c r="O150" s="315" t="s">
        <v>64</v>
      </c>
      <c r="P150" s="315" t="s">
        <v>65</v>
      </c>
      <c r="Q150" s="103" t="s">
        <v>890</v>
      </c>
      <c r="R150" s="103" t="s">
        <v>67</v>
      </c>
      <c r="S150" s="103"/>
      <c r="T150" s="411" t="s">
        <v>68</v>
      </c>
      <c r="U150" s="315"/>
      <c r="V150" s="315"/>
      <c r="W150" s="315" t="s">
        <v>46</v>
      </c>
      <c r="X150" s="315" t="s">
        <v>47</v>
      </c>
      <c r="Y150" s="315"/>
      <c r="Z150" s="315"/>
      <c r="AA150" s="100">
        <v>45966</v>
      </c>
      <c r="AB150" s="100">
        <v>47062</v>
      </c>
      <c r="AC150" s="161">
        <v>111200398777</v>
      </c>
      <c r="AD150" s="100"/>
      <c r="AE150" s="100"/>
      <c r="AF150" s="100"/>
      <c r="AG150" s="100" t="s">
        <v>1030</v>
      </c>
      <c r="AH150" s="103"/>
      <c r="AI150" s="412">
        <v>46108</v>
      </c>
    </row>
    <row r="151" spans="1:37">
      <c r="A151" s="72"/>
      <c r="B151" s="73" t="s">
        <v>1031</v>
      </c>
      <c r="C151" s="73" t="s">
        <v>1032</v>
      </c>
      <c r="D151" s="19">
        <v>24450</v>
      </c>
      <c r="E151" s="46">
        <f ca="1">IF(D151="","",($D$2-D151)/365.25)</f>
        <v>59.389459274469544</v>
      </c>
      <c r="F151" s="153" t="s">
        <v>1033</v>
      </c>
      <c r="G151" s="14">
        <v>69300</v>
      </c>
      <c r="H151" s="4" t="s">
        <v>1034</v>
      </c>
      <c r="I151" s="4"/>
      <c r="J151" s="4"/>
      <c r="K151" s="17" t="s">
        <v>1035</v>
      </c>
      <c r="L151" s="17" t="s">
        <v>1036</v>
      </c>
      <c r="M151" s="17" t="s">
        <v>1037</v>
      </c>
      <c r="N151" s="17" t="s">
        <v>1038</v>
      </c>
      <c r="O151" s="17" t="s">
        <v>64</v>
      </c>
      <c r="P151" s="17" t="s">
        <v>65</v>
      </c>
      <c r="Q151" s="73" t="s">
        <v>539</v>
      </c>
      <c r="R151" s="73" t="s">
        <v>67</v>
      </c>
      <c r="S151" s="73"/>
      <c r="T151" s="73" t="s">
        <v>68</v>
      </c>
      <c r="U151" s="17"/>
      <c r="V151" s="17"/>
      <c r="W151" s="17" t="s">
        <v>46</v>
      </c>
      <c r="X151" s="17" t="s">
        <v>47</v>
      </c>
      <c r="Y151" s="17"/>
      <c r="Z151" s="17"/>
      <c r="AA151" s="74">
        <v>45384</v>
      </c>
      <c r="AB151" s="74">
        <v>46479</v>
      </c>
      <c r="AC151" s="72">
        <v>111200395778</v>
      </c>
      <c r="AD151" s="102"/>
      <c r="AE151" s="74">
        <v>45415</v>
      </c>
      <c r="AF151" s="74">
        <v>45447</v>
      </c>
      <c r="AG151" s="104">
        <f>IF(AD151="",IF(AE151="","",AF151+365.25*2),AF151+365.25*2)</f>
        <v>46177.5</v>
      </c>
      <c r="AH151" s="100">
        <v>45534</v>
      </c>
      <c r="AI151" s="101">
        <v>45538</v>
      </c>
      <c r="AJ151" t="s">
        <v>1004</v>
      </c>
    </row>
    <row r="152" spans="1:37">
      <c r="A152" s="72"/>
      <c r="B152" s="73" t="s">
        <v>1039</v>
      </c>
      <c r="C152" s="73" t="s">
        <v>286</v>
      </c>
      <c r="D152" s="19">
        <v>30468</v>
      </c>
      <c r="E152" s="46">
        <f t="shared" ca="1" si="26"/>
        <v>42.913073237508556</v>
      </c>
      <c r="F152" s="16" t="s">
        <v>1040</v>
      </c>
      <c r="G152" s="14">
        <v>92150</v>
      </c>
      <c r="H152" s="4" t="s">
        <v>1041</v>
      </c>
      <c r="I152" s="4"/>
      <c r="J152" s="4"/>
      <c r="K152" s="17" t="s">
        <v>1042</v>
      </c>
      <c r="L152" s="17" t="s">
        <v>319</v>
      </c>
      <c r="M152" s="17" t="s">
        <v>1043</v>
      </c>
      <c r="N152" s="17" t="s">
        <v>1044</v>
      </c>
      <c r="O152" s="17" t="s">
        <v>64</v>
      </c>
      <c r="P152" s="17" t="s">
        <v>65</v>
      </c>
      <c r="Q152" s="73" t="s">
        <v>1045</v>
      </c>
      <c r="R152" s="73" t="s">
        <v>67</v>
      </c>
      <c r="S152" s="73"/>
      <c r="T152" s="73" t="s">
        <v>68</v>
      </c>
      <c r="U152" s="17" t="s">
        <v>44</v>
      </c>
      <c r="V152" s="17" t="s">
        <v>45</v>
      </c>
      <c r="W152" s="17" t="s">
        <v>46</v>
      </c>
      <c r="X152" s="17" t="s">
        <v>47</v>
      </c>
      <c r="Y152" s="17" t="s">
        <v>48</v>
      </c>
      <c r="Z152" s="17" t="s">
        <v>49</v>
      </c>
      <c r="AA152" s="74">
        <v>45267</v>
      </c>
      <c r="AB152" s="74">
        <f t="shared" si="27"/>
        <v>46362.75</v>
      </c>
      <c r="AC152" s="72">
        <v>111100676572</v>
      </c>
      <c r="AD152" s="74">
        <v>45303</v>
      </c>
      <c r="AE152" s="74"/>
      <c r="AF152" s="74">
        <v>45303</v>
      </c>
      <c r="AG152" s="104">
        <f t="shared" ref="AG152:AG175" si="29">IF(AD152="",IF(AE152="","",AF152+365.25*2),AF152+365.25*2)</f>
        <v>46033.5</v>
      </c>
      <c r="AH152" s="100">
        <v>45358</v>
      </c>
      <c r="AI152" s="101">
        <v>45372</v>
      </c>
      <c r="AJ152" t="s">
        <v>1004</v>
      </c>
    </row>
    <row r="153" spans="1:37">
      <c r="A153" s="72"/>
      <c r="B153" s="73" t="s">
        <v>1046</v>
      </c>
      <c r="C153" s="73" t="s">
        <v>1047</v>
      </c>
      <c r="D153" s="19">
        <v>25946</v>
      </c>
      <c r="E153" s="46">
        <f ca="1">IF(D153="","",($D$2-D153)/365.25)</f>
        <v>55.293634496919921</v>
      </c>
      <c r="F153" s="16" t="s">
        <v>1048</v>
      </c>
      <c r="G153" s="14">
        <v>71800</v>
      </c>
      <c r="H153" s="4" t="s">
        <v>1049</v>
      </c>
      <c r="I153" s="4"/>
      <c r="J153" s="4"/>
      <c r="K153" s="17" t="s">
        <v>1050</v>
      </c>
      <c r="L153" s="17" t="s">
        <v>707</v>
      </c>
      <c r="M153" s="17" t="s">
        <v>1051</v>
      </c>
      <c r="N153" s="17" t="s">
        <v>1052</v>
      </c>
      <c r="O153" s="17" t="s">
        <v>64</v>
      </c>
      <c r="P153" s="17" t="s">
        <v>65</v>
      </c>
      <c r="Q153" s="73" t="s">
        <v>755</v>
      </c>
      <c r="R153" s="73" t="s">
        <v>67</v>
      </c>
      <c r="S153" s="73"/>
      <c r="T153" s="73" t="s">
        <v>68</v>
      </c>
      <c r="U153" s="17" t="s">
        <v>44</v>
      </c>
      <c r="V153" s="17" t="s">
        <v>45</v>
      </c>
      <c r="W153" s="17" t="s">
        <v>46</v>
      </c>
      <c r="X153" s="17" t="s">
        <v>47</v>
      </c>
      <c r="Y153" s="17" t="s">
        <v>48</v>
      </c>
      <c r="Z153" s="17" t="s">
        <v>49</v>
      </c>
      <c r="AA153" s="74">
        <v>45283</v>
      </c>
      <c r="AB153" s="74">
        <f>IF(AA153="","",AA153+365.25*3)</f>
        <v>46378.75</v>
      </c>
      <c r="AC153" s="72">
        <v>111100684487</v>
      </c>
      <c r="AD153" s="74">
        <v>45337</v>
      </c>
      <c r="AE153" s="74"/>
      <c r="AF153" s="74">
        <v>45337</v>
      </c>
      <c r="AG153" s="104">
        <f>IF(AD153="",IF(AE153="","",AF153+365.25*2),AF153+365.25*2)</f>
        <v>46067.5</v>
      </c>
      <c r="AH153" s="168">
        <v>45646</v>
      </c>
      <c r="AI153" s="311">
        <v>45664</v>
      </c>
      <c r="AJ153" t="s">
        <v>1004</v>
      </c>
      <c r="AK153" s="133"/>
    </row>
    <row r="154" spans="1:37">
      <c r="A154" s="161"/>
      <c r="B154" s="103" t="s">
        <v>1053</v>
      </c>
      <c r="C154" s="103" t="s">
        <v>1054</v>
      </c>
      <c r="D154" s="100">
        <v>29698</v>
      </c>
      <c r="E154" s="312">
        <f ca="1">IF(D154="","",($D$2-D154)/365.25)</f>
        <v>45.021218343600275</v>
      </c>
      <c r="F154" s="313" t="s">
        <v>1055</v>
      </c>
      <c r="G154" s="314">
        <v>42240</v>
      </c>
      <c r="H154" s="103" t="s">
        <v>1056</v>
      </c>
      <c r="I154" s="103"/>
      <c r="J154" s="413"/>
      <c r="K154" s="315" t="s">
        <v>1057</v>
      </c>
      <c r="L154" s="315" t="s">
        <v>76</v>
      </c>
      <c r="M154" s="315" t="s">
        <v>1058</v>
      </c>
      <c r="N154" s="315" t="s">
        <v>1059</v>
      </c>
      <c r="O154" s="315" t="s">
        <v>64</v>
      </c>
      <c r="P154" s="315" t="s">
        <v>100</v>
      </c>
      <c r="Q154" s="103" t="s">
        <v>121</v>
      </c>
      <c r="R154" s="103" t="s">
        <v>67</v>
      </c>
      <c r="S154" s="103"/>
      <c r="T154" s="414" t="s">
        <v>68</v>
      </c>
      <c r="U154" s="315"/>
      <c r="V154" s="315"/>
      <c r="W154" s="315" t="s">
        <v>46</v>
      </c>
      <c r="X154" s="315" t="s">
        <v>47</v>
      </c>
      <c r="Y154" s="315"/>
      <c r="Z154" s="315"/>
      <c r="AA154" s="100">
        <v>45966</v>
      </c>
      <c r="AB154" s="100">
        <v>47062</v>
      </c>
      <c r="AC154" s="161">
        <v>111200398819</v>
      </c>
      <c r="AD154" s="100"/>
      <c r="AE154" s="100"/>
      <c r="AF154" s="100"/>
      <c r="AG154" s="100" t="s">
        <v>1030</v>
      </c>
      <c r="AH154" s="103"/>
      <c r="AI154" s="412">
        <v>46108</v>
      </c>
    </row>
    <row r="155" spans="1:37">
      <c r="A155" s="72"/>
      <c r="B155" s="73" t="s">
        <v>1060</v>
      </c>
      <c r="C155" s="73" t="s">
        <v>1061</v>
      </c>
      <c r="D155" s="19">
        <v>31053</v>
      </c>
      <c r="E155" s="46">
        <f ca="1">IF(D155="","",($D$2-D155)/365.25)</f>
        <v>41.311430527036279</v>
      </c>
      <c r="F155" s="23" t="s">
        <v>1062</v>
      </c>
      <c r="G155" s="14">
        <v>4100</v>
      </c>
      <c r="H155" s="4" t="s">
        <v>1063</v>
      </c>
      <c r="I155" s="4"/>
      <c r="J155" s="4"/>
      <c r="K155" s="17" t="s">
        <v>1064</v>
      </c>
      <c r="L155" s="17" t="s">
        <v>76</v>
      </c>
      <c r="M155" s="17" t="s">
        <v>1065</v>
      </c>
      <c r="N155" s="17" t="s">
        <v>1066</v>
      </c>
      <c r="O155" s="17" t="s">
        <v>64</v>
      </c>
      <c r="P155" s="17" t="s">
        <v>65</v>
      </c>
      <c r="Q155" s="73" t="s">
        <v>150</v>
      </c>
      <c r="R155" s="73" t="s">
        <v>67</v>
      </c>
      <c r="S155" s="140"/>
      <c r="T155" s="73" t="s">
        <v>68</v>
      </c>
      <c r="U155" s="17"/>
      <c r="V155" s="17"/>
      <c r="W155" s="17" t="s">
        <v>46</v>
      </c>
      <c r="X155" s="17" t="s">
        <v>47</v>
      </c>
      <c r="Y155" s="17"/>
      <c r="Z155" s="17"/>
      <c r="AA155" s="74">
        <v>45389</v>
      </c>
      <c r="AB155" s="74">
        <v>46484</v>
      </c>
      <c r="AC155" s="72">
        <v>111200395794</v>
      </c>
      <c r="AD155" s="74"/>
      <c r="AE155" s="74">
        <v>45415</v>
      </c>
      <c r="AF155" s="74">
        <v>45462</v>
      </c>
      <c r="AG155" s="104">
        <f t="shared" si="29"/>
        <v>46192.5</v>
      </c>
      <c r="AH155" s="100">
        <v>45534</v>
      </c>
      <c r="AI155" s="101">
        <v>45538</v>
      </c>
      <c r="AJ155" t="s">
        <v>1004</v>
      </c>
    </row>
    <row r="156" spans="1:37">
      <c r="A156" s="72"/>
      <c r="B156" s="73" t="s">
        <v>1067</v>
      </c>
      <c r="C156" s="73" t="s">
        <v>1068</v>
      </c>
      <c r="D156" s="19">
        <v>28653</v>
      </c>
      <c r="E156" s="46">
        <f ca="1">IF(D156="","",($D$2-D156)/365.25)</f>
        <v>47.88227241615332</v>
      </c>
      <c r="F156" s="23" t="s">
        <v>1069</v>
      </c>
      <c r="G156" s="14">
        <v>92100</v>
      </c>
      <c r="H156" s="4" t="s">
        <v>1070</v>
      </c>
      <c r="I156" s="4"/>
      <c r="J156" s="4"/>
      <c r="K156" s="17" t="s">
        <v>1071</v>
      </c>
      <c r="L156" s="17" t="s">
        <v>1072</v>
      </c>
      <c r="M156" s="17" t="s">
        <v>1073</v>
      </c>
      <c r="N156" s="17" t="s">
        <v>897</v>
      </c>
      <c r="O156" s="17" t="s">
        <v>64</v>
      </c>
      <c r="P156" s="17" t="s">
        <v>100</v>
      </c>
      <c r="Q156" s="73" t="s">
        <v>881</v>
      </c>
      <c r="R156" s="73" t="s">
        <v>1074</v>
      </c>
      <c r="S156" s="140"/>
      <c r="T156" s="73" t="s">
        <v>68</v>
      </c>
      <c r="U156" s="17"/>
      <c r="V156" s="17"/>
      <c r="W156" s="17" t="s">
        <v>46</v>
      </c>
      <c r="X156" s="17" t="s">
        <v>47</v>
      </c>
      <c r="Y156" s="17"/>
      <c r="Z156" s="17"/>
      <c r="AA156" s="74">
        <v>45510</v>
      </c>
      <c r="AB156" s="74">
        <f>IF(AA156="","",AA156+365.25*3)</f>
        <v>46605.75</v>
      </c>
      <c r="AC156" s="72">
        <v>111200396180</v>
      </c>
      <c r="AD156" s="74"/>
      <c r="AE156" s="74">
        <v>45540</v>
      </c>
      <c r="AF156" s="74"/>
      <c r="AG156" s="229">
        <f>IF(AD156="",IF(AE156="","",AF156+365.25*2),AF156+365.25*2)</f>
        <v>730.5</v>
      </c>
      <c r="AH156" s="100">
        <v>45663</v>
      </c>
      <c r="AI156" s="101">
        <v>45664</v>
      </c>
      <c r="AJ156" t="s">
        <v>1004</v>
      </c>
    </row>
    <row r="157" spans="1:37">
      <c r="A157" s="156"/>
      <c r="B157" s="157" t="s">
        <v>1075</v>
      </c>
      <c r="C157" s="157" t="s">
        <v>1015</v>
      </c>
      <c r="D157" s="170">
        <v>32159</v>
      </c>
      <c r="E157" s="171">
        <f t="shared" ca="1" si="26"/>
        <v>38.283367556468171</v>
      </c>
      <c r="F157" s="212" t="s">
        <v>1076</v>
      </c>
      <c r="G157" s="172">
        <v>97420</v>
      </c>
      <c r="H157" s="173" t="s">
        <v>1077</v>
      </c>
      <c r="I157" s="173"/>
      <c r="J157" s="173"/>
      <c r="K157" s="174" t="s">
        <v>1078</v>
      </c>
      <c r="L157" s="174" t="s">
        <v>1079</v>
      </c>
      <c r="M157" s="174" t="s">
        <v>1080</v>
      </c>
      <c r="N157" s="174" t="s">
        <v>1081</v>
      </c>
      <c r="O157" s="174" t="s">
        <v>64</v>
      </c>
      <c r="P157" s="174" t="s">
        <v>190</v>
      </c>
      <c r="Q157" s="157" t="s">
        <v>1082</v>
      </c>
      <c r="R157" s="157" t="s">
        <v>67</v>
      </c>
      <c r="S157" s="213"/>
      <c r="T157" s="157" t="s">
        <v>68</v>
      </c>
      <c r="U157" s="174" t="s">
        <v>44</v>
      </c>
      <c r="V157" s="174"/>
      <c r="W157" s="174" t="s">
        <v>46</v>
      </c>
      <c r="X157" s="174" t="s">
        <v>47</v>
      </c>
      <c r="Y157" s="174"/>
      <c r="Z157" s="174"/>
      <c r="AA157" s="158">
        <v>45335</v>
      </c>
      <c r="AB157" s="158">
        <f t="shared" si="27"/>
        <v>46430.75</v>
      </c>
      <c r="AC157" s="156">
        <v>111100689713</v>
      </c>
      <c r="AD157" s="158"/>
      <c r="AE157" s="158"/>
      <c r="AF157" s="158" t="s">
        <v>1083</v>
      </c>
      <c r="AG157" s="214" t="str">
        <f t="shared" si="29"/>
        <v/>
      </c>
      <c r="AH157" s="100">
        <v>45483</v>
      </c>
      <c r="AI157" s="337">
        <v>45372</v>
      </c>
      <c r="AJ157" t="s">
        <v>1084</v>
      </c>
    </row>
    <row r="158" spans="1:37">
      <c r="A158" s="161"/>
      <c r="B158" s="103" t="s">
        <v>1085</v>
      </c>
      <c r="C158" s="103" t="s">
        <v>76</v>
      </c>
      <c r="D158" s="100">
        <v>35806</v>
      </c>
      <c r="E158" s="312">
        <f ca="1">IF(D158="","",($D$2-D158)/365.25)</f>
        <v>28.298425735797398</v>
      </c>
      <c r="F158" s="313" t="s">
        <v>1086</v>
      </c>
      <c r="G158" s="314">
        <v>93270</v>
      </c>
      <c r="H158" s="103" t="s">
        <v>1087</v>
      </c>
      <c r="I158" s="103"/>
      <c r="J158" s="413"/>
      <c r="K158" s="315" t="s">
        <v>1088</v>
      </c>
      <c r="L158" s="315" t="s">
        <v>1089</v>
      </c>
      <c r="M158" s="315" t="s">
        <v>1090</v>
      </c>
      <c r="N158" s="315" t="s">
        <v>1091</v>
      </c>
      <c r="O158" s="315" t="s">
        <v>64</v>
      </c>
      <c r="P158" s="315" t="s">
        <v>100</v>
      </c>
      <c r="Q158" s="103" t="s">
        <v>200</v>
      </c>
      <c r="R158" s="103" t="s">
        <v>67</v>
      </c>
      <c r="S158" s="103"/>
      <c r="T158" s="414" t="s">
        <v>68</v>
      </c>
      <c r="U158" s="315"/>
      <c r="V158" s="315"/>
      <c r="W158" s="315" t="s">
        <v>46</v>
      </c>
      <c r="X158" s="315" t="s">
        <v>47</v>
      </c>
      <c r="Y158" s="315"/>
      <c r="Z158" s="315"/>
      <c r="AA158" s="100">
        <v>45966</v>
      </c>
      <c r="AB158" s="100">
        <v>47062</v>
      </c>
      <c r="AC158" s="161">
        <v>111200398826</v>
      </c>
      <c r="AD158" s="100"/>
      <c r="AE158" s="100"/>
      <c r="AF158" s="100"/>
      <c r="AG158" s="100" t="s">
        <v>1030</v>
      </c>
      <c r="AH158" s="103"/>
      <c r="AI158" s="412">
        <v>46108</v>
      </c>
    </row>
    <row r="159" spans="1:37">
      <c r="A159" s="72"/>
      <c r="B159" s="73" t="s">
        <v>1092</v>
      </c>
      <c r="C159" s="73" t="s">
        <v>1093</v>
      </c>
      <c r="D159" s="74">
        <v>36947</v>
      </c>
      <c r="E159" s="324">
        <f t="shared" ref="E159:E165" ca="1" si="30">IF(D159="","",($D$2-D159)/365.25)</f>
        <v>25.17453798767967</v>
      </c>
      <c r="F159" s="325" t="s">
        <v>1094</v>
      </c>
      <c r="G159" s="326">
        <v>75013</v>
      </c>
      <c r="H159" s="73" t="s">
        <v>165</v>
      </c>
      <c r="I159" s="73"/>
      <c r="J159" s="73"/>
      <c r="K159" s="140" t="s">
        <v>1095</v>
      </c>
      <c r="L159" s="140" t="s">
        <v>342</v>
      </c>
      <c r="M159" s="140" t="s">
        <v>1096</v>
      </c>
      <c r="N159" s="140" t="s">
        <v>1097</v>
      </c>
      <c r="O159" s="140" t="s">
        <v>64</v>
      </c>
      <c r="P159" s="140" t="s">
        <v>190</v>
      </c>
      <c r="Q159" s="73" t="s">
        <v>1098</v>
      </c>
      <c r="R159" s="73" t="s">
        <v>358</v>
      </c>
      <c r="S159" s="74">
        <v>46022</v>
      </c>
      <c r="T159" s="73" t="s">
        <v>68</v>
      </c>
      <c r="U159" s="140"/>
      <c r="V159" s="140"/>
      <c r="W159" s="140" t="s">
        <v>46</v>
      </c>
      <c r="X159" s="140" t="s">
        <v>47</v>
      </c>
      <c r="Y159" s="140"/>
      <c r="Z159" s="140"/>
      <c r="AA159" s="74">
        <v>45822</v>
      </c>
      <c r="AB159" s="74">
        <v>46022</v>
      </c>
      <c r="AC159" s="72">
        <v>111200397840</v>
      </c>
      <c r="AD159" s="74"/>
      <c r="AE159" s="74">
        <v>45874</v>
      </c>
      <c r="AF159" s="74">
        <v>45874</v>
      </c>
      <c r="AG159" s="214">
        <f>IF(AD159="",IF(AE159="","",AF159+365.25*2),AF159+365.25*2)</f>
        <v>46604.5</v>
      </c>
      <c r="AH159" s="221">
        <v>46010</v>
      </c>
      <c r="AI159" s="337">
        <v>46031</v>
      </c>
      <c r="AJ159" t="s">
        <v>995</v>
      </c>
    </row>
    <row r="160" spans="1:37">
      <c r="A160" s="161"/>
      <c r="B160" s="384" t="s">
        <v>1099</v>
      </c>
      <c r="C160" s="103" t="s">
        <v>1100</v>
      </c>
      <c r="D160" s="385">
        <v>31098</v>
      </c>
      <c r="E160" s="312">
        <f t="shared" ca="1" si="30"/>
        <v>41.18822724161533</v>
      </c>
      <c r="F160" s="313" t="s">
        <v>1101</v>
      </c>
      <c r="G160" s="314">
        <v>54000</v>
      </c>
      <c r="H160" s="103" t="s">
        <v>1102</v>
      </c>
      <c r="I160" s="103"/>
      <c r="J160" s="103"/>
      <c r="K160" s="315" t="s">
        <v>1103</v>
      </c>
      <c r="L160" s="315" t="s">
        <v>1104</v>
      </c>
      <c r="M160" s="315" t="s">
        <v>1105</v>
      </c>
      <c r="N160" s="315" t="s">
        <v>1106</v>
      </c>
      <c r="O160" s="315" t="s">
        <v>64</v>
      </c>
      <c r="P160" s="315" t="s">
        <v>65</v>
      </c>
      <c r="Q160" s="103" t="s">
        <v>1107</v>
      </c>
      <c r="R160" s="103" t="s">
        <v>67</v>
      </c>
      <c r="S160" s="103"/>
      <c r="T160" s="103" t="s">
        <v>68</v>
      </c>
      <c r="U160" s="315"/>
      <c r="V160" s="315"/>
      <c r="W160" s="315" t="s">
        <v>46</v>
      </c>
      <c r="X160" s="315" t="s">
        <v>47</v>
      </c>
      <c r="Y160" s="315"/>
      <c r="Z160" s="315"/>
      <c r="AA160" s="100">
        <v>45406</v>
      </c>
      <c r="AB160" s="100">
        <v>46501</v>
      </c>
      <c r="AC160" s="161">
        <v>111200395784</v>
      </c>
      <c r="AD160" s="100"/>
      <c r="AE160" s="101"/>
      <c r="AF160" s="100"/>
      <c r="AG160" s="214">
        <f>MIN(AB160,AF160)</f>
        <v>46501</v>
      </c>
      <c r="AH160" s="100">
        <v>46045</v>
      </c>
      <c r="AI160" s="337">
        <v>46048</v>
      </c>
      <c r="AJ160" t="s">
        <v>1108</v>
      </c>
    </row>
    <row r="161" spans="1:36">
      <c r="A161" s="161"/>
      <c r="B161" s="343" t="s">
        <v>1109</v>
      </c>
      <c r="C161" s="344" t="s">
        <v>1110</v>
      </c>
      <c r="D161" s="109">
        <v>35943</v>
      </c>
      <c r="E161" s="94">
        <f t="shared" ca="1" si="30"/>
        <v>27.923340177960302</v>
      </c>
      <c r="F161" s="110" t="s">
        <v>1111</v>
      </c>
      <c r="G161" s="111">
        <v>94210</v>
      </c>
      <c r="H161" s="108" t="s">
        <v>1112</v>
      </c>
      <c r="I161" s="108"/>
      <c r="J161" s="108"/>
      <c r="K161" s="112" t="s">
        <v>1113</v>
      </c>
      <c r="L161" s="112" t="s">
        <v>138</v>
      </c>
      <c r="M161" s="112" t="s">
        <v>1114</v>
      </c>
      <c r="N161" s="112" t="s">
        <v>63</v>
      </c>
      <c r="O161" s="112" t="s">
        <v>64</v>
      </c>
      <c r="P161" s="112" t="s">
        <v>190</v>
      </c>
      <c r="Q161" s="103" t="s">
        <v>1115</v>
      </c>
      <c r="R161" s="103" t="s">
        <v>67</v>
      </c>
      <c r="S161" s="103"/>
      <c r="T161" s="103" t="s">
        <v>68</v>
      </c>
      <c r="U161" s="112"/>
      <c r="V161" s="112"/>
      <c r="W161" s="112" t="s">
        <v>46</v>
      </c>
      <c r="X161" s="112" t="s">
        <v>47</v>
      </c>
      <c r="Y161" s="112"/>
      <c r="Z161" s="112"/>
      <c r="AA161" s="100">
        <v>45566</v>
      </c>
      <c r="AB161" s="100">
        <f>IF(AA161="","",AA161+365.25*3)</f>
        <v>46661.75</v>
      </c>
      <c r="AC161" s="161">
        <v>111200396391</v>
      </c>
      <c r="AD161" s="100"/>
      <c r="AE161" s="162">
        <v>45694</v>
      </c>
      <c r="AF161" s="100">
        <v>45764</v>
      </c>
      <c r="AG161" s="221">
        <f>IF(AD161="",IF(AE161="","",AF161+365.25*2),AF161+365.25*2)</f>
        <v>46494.5</v>
      </c>
      <c r="AH161" s="221">
        <v>45954</v>
      </c>
      <c r="AI161" s="101">
        <v>45959</v>
      </c>
      <c r="AJ161" t="s">
        <v>1004</v>
      </c>
    </row>
    <row r="162" spans="1:36" ht="12" customHeight="1">
      <c r="A162" s="156"/>
      <c r="B162" s="231" t="s">
        <v>1116</v>
      </c>
      <c r="C162" s="73" t="s">
        <v>1117</v>
      </c>
      <c r="D162" s="19">
        <v>33433</v>
      </c>
      <c r="E162" s="46">
        <f t="shared" ca="1" si="30"/>
        <v>34.795345653661876</v>
      </c>
      <c r="F162" s="16" t="s">
        <v>1118</v>
      </c>
      <c r="G162" s="14">
        <v>92160</v>
      </c>
      <c r="H162" s="4" t="s">
        <v>1119</v>
      </c>
      <c r="I162" s="4"/>
      <c r="J162" s="4"/>
      <c r="K162" s="17" t="s">
        <v>1120</v>
      </c>
      <c r="L162" s="17" t="s">
        <v>1121</v>
      </c>
      <c r="M162" s="17" t="s">
        <v>1122</v>
      </c>
      <c r="N162" s="17" t="s">
        <v>1123</v>
      </c>
      <c r="O162" s="17" t="s">
        <v>64</v>
      </c>
      <c r="P162" s="17" t="s">
        <v>190</v>
      </c>
      <c r="Q162" s="73" t="s">
        <v>1124</v>
      </c>
      <c r="R162" s="73" t="s">
        <v>67</v>
      </c>
      <c r="S162" s="73"/>
      <c r="T162" s="73" t="s">
        <v>68</v>
      </c>
      <c r="U162" s="17"/>
      <c r="V162" s="17" t="s">
        <v>45</v>
      </c>
      <c r="W162" s="17" t="s">
        <v>46</v>
      </c>
      <c r="X162" s="17" t="s">
        <v>47</v>
      </c>
      <c r="Y162" s="17" t="s">
        <v>48</v>
      </c>
      <c r="Z162" s="17"/>
      <c r="AA162" s="74">
        <v>45678</v>
      </c>
      <c r="AB162" s="74">
        <v>46773</v>
      </c>
      <c r="AC162" s="72">
        <v>111200396900</v>
      </c>
      <c r="AD162" s="74"/>
      <c r="AE162" s="141">
        <v>45699</v>
      </c>
      <c r="AF162" s="74">
        <v>45699</v>
      </c>
      <c r="AG162" s="74">
        <f>IF(AD162="",IF(AE162="","",AF162+365.25*2),AF162+365.25*2)</f>
        <v>46429.5</v>
      </c>
      <c r="AH162" s="100">
        <v>45846</v>
      </c>
      <c r="AI162" s="169">
        <v>45869</v>
      </c>
      <c r="AJ162" t="s">
        <v>1004</v>
      </c>
    </row>
    <row r="163" spans="1:36">
      <c r="A163" s="161"/>
      <c r="B163" s="103" t="s">
        <v>1125</v>
      </c>
      <c r="C163" s="103" t="s">
        <v>1126</v>
      </c>
      <c r="D163" s="109">
        <v>33114</v>
      </c>
      <c r="E163" s="94">
        <f t="shared" ca="1" si="30"/>
        <v>35.668720054757017</v>
      </c>
      <c r="F163" s="110" t="s">
        <v>1127</v>
      </c>
      <c r="G163" s="111">
        <v>69003</v>
      </c>
      <c r="H163" s="108" t="s">
        <v>1128</v>
      </c>
      <c r="I163" s="108"/>
      <c r="J163" s="108"/>
      <c r="K163" s="112" t="s">
        <v>1129</v>
      </c>
      <c r="L163" s="112" t="s">
        <v>20</v>
      </c>
      <c r="M163" s="112" t="s">
        <v>1130</v>
      </c>
      <c r="N163" s="112" t="s">
        <v>210</v>
      </c>
      <c r="O163" s="112" t="s">
        <v>64</v>
      </c>
      <c r="P163" s="112" t="s">
        <v>65</v>
      </c>
      <c r="Q163" s="103" t="s">
        <v>1131</v>
      </c>
      <c r="R163" s="103" t="s">
        <v>67</v>
      </c>
      <c r="S163" s="103"/>
      <c r="T163" s="103" t="s">
        <v>68</v>
      </c>
      <c r="U163" s="112"/>
      <c r="V163" s="112"/>
      <c r="W163" s="112" t="s">
        <v>46</v>
      </c>
      <c r="X163" s="112" t="s">
        <v>47</v>
      </c>
      <c r="Y163" s="112"/>
      <c r="Z163" s="112"/>
      <c r="AA163" s="100">
        <v>45495</v>
      </c>
      <c r="AB163" s="100">
        <f>IF(AA163="","",AA163+365.25*3)</f>
        <v>46590.75</v>
      </c>
      <c r="AC163" s="161">
        <v>111200396179</v>
      </c>
      <c r="AD163" s="100"/>
      <c r="AE163" s="162">
        <v>45538</v>
      </c>
      <c r="AF163" s="100">
        <v>45594</v>
      </c>
      <c r="AG163" s="100">
        <f>IF(AD163="",IF(AE163="","",AF163+365.25*2),AF163+365.25*2)</f>
        <v>46324.5</v>
      </c>
      <c r="AH163" s="168">
        <v>45618</v>
      </c>
      <c r="AI163" s="311">
        <v>45622</v>
      </c>
      <c r="AJ163" t="s">
        <v>1004</v>
      </c>
    </row>
    <row r="164" spans="1:36" ht="13.5" customHeight="1">
      <c r="A164" s="161"/>
      <c r="B164" s="73" t="s">
        <v>1132</v>
      </c>
      <c r="C164" s="73" t="s">
        <v>1133</v>
      </c>
      <c r="D164" s="19">
        <v>35381</v>
      </c>
      <c r="E164" s="46">
        <f t="shared" ca="1" si="30"/>
        <v>29.462012320328544</v>
      </c>
      <c r="F164" s="16" t="s">
        <v>1134</v>
      </c>
      <c r="G164" s="14">
        <v>91300</v>
      </c>
      <c r="H164" s="4" t="s">
        <v>780</v>
      </c>
      <c r="I164" s="4"/>
      <c r="J164" s="4"/>
      <c r="K164" s="17" t="s">
        <v>1135</v>
      </c>
      <c r="L164" s="17" t="s">
        <v>859</v>
      </c>
      <c r="M164" s="17" t="s">
        <v>1136</v>
      </c>
      <c r="N164" s="17" t="s">
        <v>1137</v>
      </c>
      <c r="O164" s="175" t="s">
        <v>64</v>
      </c>
      <c r="P164" s="17" t="s">
        <v>100</v>
      </c>
      <c r="Q164" s="73" t="s">
        <v>785</v>
      </c>
      <c r="R164" s="73" t="s">
        <v>67</v>
      </c>
      <c r="S164" s="73"/>
      <c r="T164" s="73" t="s">
        <v>68</v>
      </c>
      <c r="U164" s="17" t="s">
        <v>44</v>
      </c>
      <c r="V164" s="17" t="s">
        <v>45</v>
      </c>
      <c r="W164" s="17" t="s">
        <v>46</v>
      </c>
      <c r="X164" s="17" t="s">
        <v>47</v>
      </c>
      <c r="Y164" s="17" t="s">
        <v>48</v>
      </c>
      <c r="Z164" s="17" t="s">
        <v>49</v>
      </c>
      <c r="AA164" s="74">
        <v>45475</v>
      </c>
      <c r="AB164" s="74">
        <f>IF(AA164="","",AA164+365.25*3)</f>
        <v>46570.75</v>
      </c>
      <c r="AC164" s="72">
        <v>111100726017</v>
      </c>
      <c r="AD164" s="74">
        <v>45558</v>
      </c>
      <c r="AE164" s="74"/>
      <c r="AF164" s="74">
        <v>45558</v>
      </c>
      <c r="AG164" s="104">
        <f>IF(AD164="",IF(AE164="","",AF164+365.25*2),AF164+365.25*2)</f>
        <v>46288.5</v>
      </c>
      <c r="AH164" s="221">
        <v>46003</v>
      </c>
      <c r="AI164" s="101">
        <v>46008</v>
      </c>
      <c r="AJ164" t="s">
        <v>1108</v>
      </c>
    </row>
    <row r="165" spans="1:36">
      <c r="A165" s="215"/>
      <c r="B165" s="216" t="s">
        <v>1138</v>
      </c>
      <c r="C165" s="217" t="s">
        <v>1139</v>
      </c>
      <c r="D165" s="30">
        <v>36993</v>
      </c>
      <c r="E165" s="87">
        <f t="shared" ca="1" si="30"/>
        <v>25.048596851471594</v>
      </c>
      <c r="F165" s="88" t="s">
        <v>1140</v>
      </c>
      <c r="G165" s="89">
        <v>95150</v>
      </c>
      <c r="H165" s="9" t="s">
        <v>1141</v>
      </c>
      <c r="I165" s="9"/>
      <c r="J165" s="9"/>
      <c r="K165" s="25" t="s">
        <v>1142</v>
      </c>
      <c r="L165" s="25" t="s">
        <v>1143</v>
      </c>
      <c r="M165" s="25" t="s">
        <v>1144</v>
      </c>
      <c r="N165" s="25" t="s">
        <v>1145</v>
      </c>
      <c r="O165" s="25" t="s">
        <v>64</v>
      </c>
      <c r="P165" s="25" t="s">
        <v>65</v>
      </c>
      <c r="Q165" s="217" t="s">
        <v>1146</v>
      </c>
      <c r="R165" s="218">
        <v>45446</v>
      </c>
      <c r="S165" s="218">
        <v>45535</v>
      </c>
      <c r="T165" s="217" t="s">
        <v>68</v>
      </c>
      <c r="U165" s="25"/>
      <c r="V165" s="25"/>
      <c r="W165" s="25" t="s">
        <v>46</v>
      </c>
      <c r="X165" s="25" t="s">
        <v>47</v>
      </c>
      <c r="Y165" s="25"/>
      <c r="Z165" s="25"/>
      <c r="AA165" s="218">
        <v>45398</v>
      </c>
      <c r="AB165" s="218">
        <v>45535</v>
      </c>
      <c r="AC165" s="219">
        <v>111200395783</v>
      </c>
      <c r="AD165" s="218"/>
      <c r="AE165" s="218">
        <v>45415</v>
      </c>
      <c r="AF165" s="218">
        <v>45415</v>
      </c>
      <c r="AG165" s="220">
        <f t="shared" si="29"/>
        <v>46145.5</v>
      </c>
      <c r="AH165" s="338">
        <v>45534</v>
      </c>
      <c r="AI165" s="337">
        <v>45538</v>
      </c>
      <c r="AJ165" t="s">
        <v>995</v>
      </c>
    </row>
    <row r="166" spans="1:36">
      <c r="A166" s="72"/>
      <c r="B166" s="73" t="s">
        <v>1147</v>
      </c>
      <c r="C166" s="73" t="s">
        <v>1148</v>
      </c>
      <c r="D166" s="19">
        <v>27075</v>
      </c>
      <c r="E166" s="46">
        <f t="shared" ca="1" si="26"/>
        <v>52.202600958247778</v>
      </c>
      <c r="F166" t="s">
        <v>1149</v>
      </c>
      <c r="G166" s="14">
        <v>69100</v>
      </c>
      <c r="H166" s="4" t="s">
        <v>1150</v>
      </c>
      <c r="I166" s="4"/>
      <c r="J166" s="4"/>
      <c r="K166" s="17" t="s">
        <v>1151</v>
      </c>
      <c r="L166" s="17" t="s">
        <v>1152</v>
      </c>
      <c r="M166" s="17" t="s">
        <v>1153</v>
      </c>
      <c r="N166" s="17" t="s">
        <v>1154</v>
      </c>
      <c r="O166" s="17" t="s">
        <v>64</v>
      </c>
      <c r="P166" s="17" t="s">
        <v>190</v>
      </c>
      <c r="Q166" s="73" t="s">
        <v>1155</v>
      </c>
      <c r="R166" s="73" t="s">
        <v>67</v>
      </c>
      <c r="S166" s="73"/>
      <c r="T166" s="73" t="s">
        <v>68</v>
      </c>
      <c r="U166" s="17"/>
      <c r="V166" s="17"/>
      <c r="W166" s="17" t="s">
        <v>46</v>
      </c>
      <c r="X166" s="17" t="s">
        <v>47</v>
      </c>
      <c r="Y166" s="17"/>
      <c r="Z166" s="17"/>
      <c r="AA166" s="74">
        <v>45349</v>
      </c>
      <c r="AB166" s="74">
        <f t="shared" si="27"/>
        <v>46444.75</v>
      </c>
      <c r="AC166" s="72">
        <v>111200395449</v>
      </c>
      <c r="AD166" s="141">
        <v>45407</v>
      </c>
      <c r="AE166" s="74"/>
      <c r="AF166" s="74">
        <v>45407</v>
      </c>
      <c r="AG166" s="104">
        <f t="shared" si="29"/>
        <v>46137.5</v>
      </c>
      <c r="AH166" s="322">
        <v>45478</v>
      </c>
      <c r="AI166" s="101">
        <v>45499</v>
      </c>
    </row>
    <row r="167" spans="1:36">
      <c r="A167" s="161"/>
      <c r="B167" s="103" t="s">
        <v>1156</v>
      </c>
      <c r="C167" s="103" t="s">
        <v>1157</v>
      </c>
      <c r="D167" s="100">
        <v>26459</v>
      </c>
      <c r="E167" s="312">
        <f ca="1">IF(D167="","",($D$2-D167)/365.25)</f>
        <v>53.889117043121146</v>
      </c>
      <c r="F167" s="408" t="s">
        <v>884</v>
      </c>
      <c r="G167" s="415">
        <v>39400</v>
      </c>
      <c r="H167" s="416" t="s">
        <v>885</v>
      </c>
      <c r="I167" s="416"/>
      <c r="J167" s="417"/>
      <c r="K167" s="410" t="s">
        <v>1158</v>
      </c>
      <c r="L167" s="410" t="s">
        <v>1159</v>
      </c>
      <c r="M167" s="410" t="s">
        <v>1160</v>
      </c>
      <c r="N167" s="410" t="s">
        <v>1161</v>
      </c>
      <c r="O167" s="315" t="s">
        <v>64</v>
      </c>
      <c r="P167" s="315" t="s">
        <v>65</v>
      </c>
      <c r="Q167" s="103" t="s">
        <v>121</v>
      </c>
      <c r="R167" s="103" t="s">
        <v>67</v>
      </c>
      <c r="S167" s="103"/>
      <c r="T167" s="414" t="s">
        <v>68</v>
      </c>
      <c r="U167" s="315"/>
      <c r="V167" s="315"/>
      <c r="W167" s="315" t="s">
        <v>46</v>
      </c>
      <c r="X167" s="315" t="s">
        <v>47</v>
      </c>
      <c r="Y167" s="315"/>
      <c r="Z167" s="315"/>
      <c r="AA167" s="100">
        <v>45966</v>
      </c>
      <c r="AB167" s="100">
        <v>47062</v>
      </c>
      <c r="AC167" s="161">
        <v>111200398801</v>
      </c>
      <c r="AD167" s="100"/>
      <c r="AE167" s="100"/>
      <c r="AF167" s="100"/>
      <c r="AG167" s="100" t="s">
        <v>1030</v>
      </c>
      <c r="AH167" s="384"/>
      <c r="AI167" s="101">
        <v>46108</v>
      </c>
    </row>
    <row r="168" spans="1:36">
      <c r="A168" s="156"/>
      <c r="B168" s="157" t="s">
        <v>1162</v>
      </c>
      <c r="C168" s="157" t="s">
        <v>326</v>
      </c>
      <c r="D168" s="170">
        <v>27301</v>
      </c>
      <c r="E168" s="171">
        <f ca="1">IF(D168="","",($D$2-D168)/365.25)</f>
        <v>51.583846680355919</v>
      </c>
      <c r="F168" s="153" t="s">
        <v>1163</v>
      </c>
      <c r="G168" s="172">
        <v>95600</v>
      </c>
      <c r="H168" s="173" t="s">
        <v>1164</v>
      </c>
      <c r="I168" s="173"/>
      <c r="J168" s="173"/>
      <c r="K168" s="174" t="s">
        <v>1165</v>
      </c>
      <c r="L168" s="174" t="s">
        <v>431</v>
      </c>
      <c r="M168" s="174" t="s">
        <v>1166</v>
      </c>
      <c r="N168" s="174" t="s">
        <v>1167</v>
      </c>
      <c r="O168" s="174" t="s">
        <v>64</v>
      </c>
      <c r="P168" s="174"/>
      <c r="Q168" s="157" t="s">
        <v>767</v>
      </c>
      <c r="R168" s="157" t="s">
        <v>67</v>
      </c>
      <c r="S168" s="157"/>
      <c r="T168" s="157" t="s">
        <v>68</v>
      </c>
      <c r="U168" s="174"/>
      <c r="V168" s="174"/>
      <c r="W168" s="174" t="s">
        <v>46</v>
      </c>
      <c r="X168" s="174" t="s">
        <v>47</v>
      </c>
      <c r="Y168" s="174"/>
      <c r="Z168" s="174"/>
      <c r="AA168" s="158">
        <v>45510</v>
      </c>
      <c r="AB168" s="158">
        <f>IF(AA168="","",AA168+365.25*3)</f>
        <v>46605.75</v>
      </c>
      <c r="AC168" s="156">
        <v>111200396222</v>
      </c>
      <c r="AD168" s="158">
        <v>45574</v>
      </c>
      <c r="AE168" s="158"/>
      <c r="AF168" s="158">
        <v>45574</v>
      </c>
      <c r="AG168" s="214">
        <f>IF(AD168="",IF(AE168="","",AF168+365.25*2),AF168+365.25*2)</f>
        <v>46304.5</v>
      </c>
      <c r="AH168" s="221">
        <v>45646</v>
      </c>
      <c r="AI168" s="101">
        <v>45673</v>
      </c>
      <c r="AJ168" t="s">
        <v>1108</v>
      </c>
    </row>
    <row r="169" spans="1:36">
      <c r="A169" s="72"/>
      <c r="B169" s="73" t="s">
        <v>1168</v>
      </c>
      <c r="C169" s="73" t="s">
        <v>1169</v>
      </c>
      <c r="D169" s="74">
        <v>34386</v>
      </c>
      <c r="E169" s="324">
        <f ca="1">IF(D169="","",($D$2-D169)/365.25)</f>
        <v>32.186173853524984</v>
      </c>
      <c r="F169" s="325" t="s">
        <v>1170</v>
      </c>
      <c r="G169" s="326">
        <v>61000</v>
      </c>
      <c r="H169" s="73" t="s">
        <v>1171</v>
      </c>
      <c r="I169" s="73"/>
      <c r="J169" s="73"/>
      <c r="K169" s="140" t="s">
        <v>1172</v>
      </c>
      <c r="L169" s="140" t="s">
        <v>1173</v>
      </c>
      <c r="M169" s="140" t="s">
        <v>1174</v>
      </c>
      <c r="N169" s="140" t="s">
        <v>433</v>
      </c>
      <c r="O169" s="140" t="s">
        <v>64</v>
      </c>
      <c r="P169" s="140" t="s">
        <v>65</v>
      </c>
      <c r="Q169" s="73" t="s">
        <v>1175</v>
      </c>
      <c r="R169" s="73" t="s">
        <v>67</v>
      </c>
      <c r="S169" s="73"/>
      <c r="T169" s="73" t="s">
        <v>68</v>
      </c>
      <c r="U169" s="140" t="s">
        <v>44</v>
      </c>
      <c r="V169" s="140" t="s">
        <v>45</v>
      </c>
      <c r="W169" s="140" t="s">
        <v>46</v>
      </c>
      <c r="X169" s="140" t="s">
        <v>47</v>
      </c>
      <c r="Y169" s="140" t="s">
        <v>48</v>
      </c>
      <c r="Z169" s="140" t="s">
        <v>49</v>
      </c>
      <c r="AA169" s="74">
        <v>45301</v>
      </c>
      <c r="AB169" s="74">
        <v>46037</v>
      </c>
      <c r="AC169" s="72">
        <v>111100682210</v>
      </c>
      <c r="AD169" s="74"/>
      <c r="AE169" s="74">
        <v>45315</v>
      </c>
      <c r="AF169" s="74">
        <v>46052</v>
      </c>
      <c r="AG169" s="214">
        <f>MIN(AB169,AF169)</f>
        <v>46037</v>
      </c>
      <c r="AH169" s="100">
        <v>46048</v>
      </c>
      <c r="AI169" s="311">
        <v>46048</v>
      </c>
      <c r="AJ169" t="s">
        <v>1176</v>
      </c>
    </row>
    <row r="170" spans="1:36">
      <c r="A170" s="161"/>
      <c r="B170" s="103" t="s">
        <v>1177</v>
      </c>
      <c r="C170" s="103" t="s">
        <v>1178</v>
      </c>
      <c r="D170" s="100">
        <v>27515</v>
      </c>
      <c r="E170" s="312">
        <f ca="1">IF(D170="","",($D$2-D170)/365.25)</f>
        <v>50.997946611909654</v>
      </c>
      <c r="F170" s="313" t="s">
        <v>1179</v>
      </c>
      <c r="G170" s="314">
        <v>92700</v>
      </c>
      <c r="H170" s="103" t="s">
        <v>1180</v>
      </c>
      <c r="I170" s="103"/>
      <c r="J170" s="103"/>
      <c r="K170" s="315" t="s">
        <v>1181</v>
      </c>
      <c r="L170" s="315" t="s">
        <v>109</v>
      </c>
      <c r="M170" s="315" t="s">
        <v>1182</v>
      </c>
      <c r="N170" s="315" t="s">
        <v>610</v>
      </c>
      <c r="O170" s="315" t="s">
        <v>64</v>
      </c>
      <c r="P170" s="315" t="s">
        <v>190</v>
      </c>
      <c r="Q170" s="103" t="s">
        <v>1183</v>
      </c>
      <c r="R170" s="103" t="s">
        <v>67</v>
      </c>
      <c r="S170" s="103"/>
      <c r="T170" s="103" t="s">
        <v>68</v>
      </c>
      <c r="U170" s="315" t="s">
        <v>44</v>
      </c>
      <c r="V170" s="315" t="s">
        <v>45</v>
      </c>
      <c r="W170" s="315" t="s">
        <v>46</v>
      </c>
      <c r="X170" s="315" t="s">
        <v>47</v>
      </c>
      <c r="Y170" s="315" t="s">
        <v>48</v>
      </c>
      <c r="Z170" s="315" t="s">
        <v>49</v>
      </c>
      <c r="AA170" s="100">
        <v>45316</v>
      </c>
      <c r="AB170" s="100">
        <f>IF(AA170="","",AA170+365.25*3)</f>
        <v>46411.75</v>
      </c>
      <c r="AC170" s="161">
        <v>111100685458</v>
      </c>
      <c r="AD170" s="100">
        <v>45372</v>
      </c>
      <c r="AE170" s="100"/>
      <c r="AF170" s="100">
        <v>45372</v>
      </c>
      <c r="AG170" s="221">
        <f>IF(AD170="",IF(AE170="","",AF170+365.25*2),AF170+365.25*2)</f>
        <v>46102.5</v>
      </c>
      <c r="AH170" s="100">
        <v>45895</v>
      </c>
      <c r="AI170" s="101">
        <v>45896</v>
      </c>
      <c r="AJ170" t="s">
        <v>1004</v>
      </c>
    </row>
    <row r="171" spans="1:36">
      <c r="A171" s="161"/>
      <c r="B171" s="103" t="s">
        <v>1184</v>
      </c>
      <c r="C171" s="103" t="s">
        <v>240</v>
      </c>
      <c r="D171" s="100">
        <v>26940</v>
      </c>
      <c r="E171" s="312">
        <f t="shared" ref="E171" ca="1" si="31">IF(D171="","",($D$2-D171)/365.25)</f>
        <v>52.572210814510612</v>
      </c>
      <c r="F171" s="313" t="s">
        <v>1185</v>
      </c>
      <c r="G171" s="314">
        <v>92500</v>
      </c>
      <c r="H171" s="103" t="s">
        <v>1186</v>
      </c>
      <c r="I171" s="103"/>
      <c r="J171" s="413"/>
      <c r="K171" s="410" t="s">
        <v>1187</v>
      </c>
      <c r="L171" s="410" t="s">
        <v>1188</v>
      </c>
      <c r="M171" s="410" t="s">
        <v>1189</v>
      </c>
      <c r="N171" s="315" t="s">
        <v>1190</v>
      </c>
      <c r="O171" s="315" t="s">
        <v>64</v>
      </c>
      <c r="P171" s="315" t="s">
        <v>100</v>
      </c>
      <c r="Q171" s="103" t="s">
        <v>200</v>
      </c>
      <c r="R171" s="103" t="s">
        <v>67</v>
      </c>
      <c r="S171" s="103"/>
      <c r="T171" s="414" t="s">
        <v>68</v>
      </c>
      <c r="U171" s="315"/>
      <c r="V171" s="315"/>
      <c r="W171" s="315" t="s">
        <v>46</v>
      </c>
      <c r="X171" s="315" t="s">
        <v>47</v>
      </c>
      <c r="Y171" s="315"/>
      <c r="Z171" s="315"/>
      <c r="AA171" s="100">
        <v>45966</v>
      </c>
      <c r="AB171" s="100">
        <v>47062</v>
      </c>
      <c r="AC171" s="161">
        <v>111200398824</v>
      </c>
      <c r="AD171" s="100"/>
      <c r="AE171" s="100"/>
      <c r="AF171" s="100"/>
      <c r="AG171" s="100" t="s">
        <v>1030</v>
      </c>
      <c r="AH171" s="103"/>
      <c r="AI171" s="412">
        <v>46108</v>
      </c>
    </row>
    <row r="172" spans="1:36">
      <c r="A172" s="219"/>
      <c r="B172" s="316" t="s">
        <v>1191</v>
      </c>
      <c r="C172" s="217" t="s">
        <v>1192</v>
      </c>
      <c r="D172" s="218">
        <v>30769</v>
      </c>
      <c r="E172" s="317">
        <f ca="1">IF(D172="","",($D$2-D172)/365.25)</f>
        <v>42.08898015058179</v>
      </c>
      <c r="F172" s="318" t="s">
        <v>1193</v>
      </c>
      <c r="G172" s="319">
        <v>78590</v>
      </c>
      <c r="H172" s="217" t="s">
        <v>1194</v>
      </c>
      <c r="I172" s="217"/>
      <c r="J172" s="217"/>
      <c r="K172" s="320" t="s">
        <v>1195</v>
      </c>
      <c r="L172" s="320" t="s">
        <v>1010</v>
      </c>
      <c r="M172" s="320" t="s">
        <v>1196</v>
      </c>
      <c r="N172" s="320" t="s">
        <v>1197</v>
      </c>
      <c r="O172" s="320" t="s">
        <v>64</v>
      </c>
      <c r="P172" s="320" t="s">
        <v>65</v>
      </c>
      <c r="Q172" s="217" t="s">
        <v>121</v>
      </c>
      <c r="R172" s="217" t="s">
        <v>67</v>
      </c>
      <c r="S172" s="217"/>
      <c r="T172" s="217"/>
      <c r="U172" s="320"/>
      <c r="V172" s="320"/>
      <c r="W172" s="320" t="s">
        <v>46</v>
      </c>
      <c r="X172" s="320" t="s">
        <v>47</v>
      </c>
      <c r="Y172" s="320"/>
      <c r="Z172" s="320"/>
      <c r="AA172" s="218"/>
      <c r="AB172" s="218"/>
      <c r="AC172" s="219" t="s">
        <v>1198</v>
      </c>
      <c r="AD172" s="218"/>
      <c r="AE172" s="218"/>
      <c r="AF172" s="321"/>
      <c r="AG172" s="322" t="str">
        <f>IF(AD172="",IF(AE172="","",AF172+365.25*2),AF172+365.25*2)</f>
        <v/>
      </c>
      <c r="AH172" s="327"/>
      <c r="AI172" s="337"/>
    </row>
    <row r="173" spans="1:36">
      <c r="A173" s="156"/>
      <c r="B173" s="157" t="s">
        <v>546</v>
      </c>
      <c r="C173" s="157" t="s">
        <v>839</v>
      </c>
      <c r="D173" s="170">
        <v>29522</v>
      </c>
      <c r="E173" s="171">
        <f t="shared" ca="1" si="26"/>
        <v>45.503080082135526</v>
      </c>
      <c r="F173" s="153" t="s">
        <v>1199</v>
      </c>
      <c r="G173" s="172">
        <v>83000</v>
      </c>
      <c r="H173" s="173" t="s">
        <v>1200</v>
      </c>
      <c r="I173" s="173"/>
      <c r="J173" s="173"/>
      <c r="K173" s="174" t="s">
        <v>1201</v>
      </c>
      <c r="L173" s="174" t="s">
        <v>118</v>
      </c>
      <c r="M173" s="174" t="s">
        <v>1202</v>
      </c>
      <c r="N173" s="174" t="s">
        <v>291</v>
      </c>
      <c r="O173" s="174" t="s">
        <v>64</v>
      </c>
      <c r="P173" s="174" t="s">
        <v>65</v>
      </c>
      <c r="Q173" s="157" t="s">
        <v>806</v>
      </c>
      <c r="R173" s="157" t="s">
        <v>67</v>
      </c>
      <c r="S173" s="157"/>
      <c r="T173" s="157" t="s">
        <v>68</v>
      </c>
      <c r="U173" s="174" t="s">
        <v>44</v>
      </c>
      <c r="V173" s="174" t="s">
        <v>45</v>
      </c>
      <c r="W173" s="174" t="s">
        <v>46</v>
      </c>
      <c r="X173" s="174" t="s">
        <v>47</v>
      </c>
      <c r="Y173" s="174" t="s">
        <v>48</v>
      </c>
      <c r="Z173" s="174" t="s">
        <v>49</v>
      </c>
      <c r="AA173" s="158">
        <v>45301</v>
      </c>
      <c r="AB173" s="158">
        <f t="shared" si="27"/>
        <v>46396.75</v>
      </c>
      <c r="AC173" s="156">
        <v>111200395437</v>
      </c>
      <c r="AD173" s="159"/>
      <c r="AE173" s="160"/>
      <c r="AF173" s="160"/>
      <c r="AG173" s="104" t="str">
        <f t="shared" si="29"/>
        <v/>
      </c>
      <c r="AH173" s="100">
        <v>45439</v>
      </c>
      <c r="AI173" s="101">
        <v>45440</v>
      </c>
      <c r="AJ173" t="s">
        <v>1108</v>
      </c>
    </row>
    <row r="174" spans="1:36">
      <c r="A174" s="72"/>
      <c r="B174" s="73" t="s">
        <v>1203</v>
      </c>
      <c r="C174" s="73" t="s">
        <v>825</v>
      </c>
      <c r="D174" s="74">
        <v>36097</v>
      </c>
      <c r="E174" s="324">
        <f ca="1">IF(D174="","",($D$2-D174)/365.25)</f>
        <v>27.501711156741958</v>
      </c>
      <c r="F174" s="325" t="s">
        <v>1204</v>
      </c>
      <c r="G174" s="326">
        <v>91380</v>
      </c>
      <c r="H174" s="73" t="s">
        <v>1025</v>
      </c>
      <c r="I174" s="73"/>
      <c r="J174" s="73"/>
      <c r="K174" s="140" t="s">
        <v>1205</v>
      </c>
      <c r="L174" s="140" t="s">
        <v>223</v>
      </c>
      <c r="M174" s="140" t="s">
        <v>1206</v>
      </c>
      <c r="N174" s="140" t="s">
        <v>1207</v>
      </c>
      <c r="O174" s="140" t="s">
        <v>64</v>
      </c>
      <c r="P174" s="140" t="s">
        <v>65</v>
      </c>
      <c r="Q174" s="73" t="s">
        <v>425</v>
      </c>
      <c r="R174" s="73" t="s">
        <v>67</v>
      </c>
      <c r="S174" s="73"/>
      <c r="T174" s="73" t="s">
        <v>68</v>
      </c>
      <c r="U174" s="140" t="s">
        <v>44</v>
      </c>
      <c r="V174" s="140" t="s">
        <v>45</v>
      </c>
      <c r="W174" s="140" t="s">
        <v>46</v>
      </c>
      <c r="X174" s="140" t="s">
        <v>47</v>
      </c>
      <c r="Y174" s="140" t="s">
        <v>48</v>
      </c>
      <c r="Z174" s="140" t="s">
        <v>49</v>
      </c>
      <c r="AA174" s="74">
        <v>45289</v>
      </c>
      <c r="AB174" s="74">
        <v>46363</v>
      </c>
      <c r="AC174" s="72">
        <v>111100684227</v>
      </c>
      <c r="AD174" s="74">
        <v>45337</v>
      </c>
      <c r="AE174" s="74"/>
      <c r="AF174" s="74">
        <v>45337</v>
      </c>
      <c r="AG174" s="104">
        <f>IF(AD174="",IF(AE174="","",AF174+365.25*2),AF174+365.25*2)</f>
        <v>46067.5</v>
      </c>
      <c r="AH174" s="100">
        <v>45947</v>
      </c>
      <c r="AI174" s="101">
        <v>45950</v>
      </c>
      <c r="AJ174" t="s">
        <v>1108</v>
      </c>
    </row>
    <row r="175" spans="1:36">
      <c r="A175" s="161"/>
      <c r="B175" s="103" t="s">
        <v>1208</v>
      </c>
      <c r="C175" s="103" t="s">
        <v>1209</v>
      </c>
      <c r="D175" s="109">
        <v>33859</v>
      </c>
      <c r="E175" s="94">
        <f t="shared" ca="1" si="26"/>
        <v>33.629021218343603</v>
      </c>
      <c r="F175" s="110" t="s">
        <v>1210</v>
      </c>
      <c r="G175" s="111">
        <v>77100</v>
      </c>
      <c r="H175" s="108" t="s">
        <v>1211</v>
      </c>
      <c r="I175" s="108"/>
      <c r="J175" s="108"/>
      <c r="K175" s="112" t="s">
        <v>1212</v>
      </c>
      <c r="L175" s="112" t="s">
        <v>1213</v>
      </c>
      <c r="M175" s="112" t="s">
        <v>1214</v>
      </c>
      <c r="N175" s="112" t="s">
        <v>1215</v>
      </c>
      <c r="O175" s="112" t="s">
        <v>64</v>
      </c>
      <c r="P175" s="112" t="s">
        <v>65</v>
      </c>
      <c r="Q175" s="103" t="s">
        <v>1216</v>
      </c>
      <c r="R175" s="103" t="s">
        <v>67</v>
      </c>
      <c r="S175" s="103"/>
      <c r="T175" s="103" t="s">
        <v>68</v>
      </c>
      <c r="U175" s="112" t="s">
        <v>44</v>
      </c>
      <c r="V175" s="112" t="s">
        <v>45</v>
      </c>
      <c r="W175" s="112" t="s">
        <v>46</v>
      </c>
      <c r="X175" s="112" t="s">
        <v>47</v>
      </c>
      <c r="Y175" s="112" t="s">
        <v>48</v>
      </c>
      <c r="Z175" s="112" t="s">
        <v>49</v>
      </c>
      <c r="AA175" s="100">
        <v>45301</v>
      </c>
      <c r="AB175" s="100">
        <f t="shared" si="27"/>
        <v>46396.75</v>
      </c>
      <c r="AC175" s="161">
        <v>111100686229</v>
      </c>
      <c r="AD175" s="162">
        <v>45372</v>
      </c>
      <c r="AE175" s="100"/>
      <c r="AF175" s="100">
        <v>45454</v>
      </c>
      <c r="AG175" s="104">
        <f t="shared" si="29"/>
        <v>46184.5</v>
      </c>
      <c r="AH175" s="338">
        <v>45498</v>
      </c>
      <c r="AI175" s="169">
        <v>45499</v>
      </c>
      <c r="AJ175" t="s">
        <v>1217</v>
      </c>
    </row>
    <row r="176" spans="1:36" ht="15.75" customHeight="1">
      <c r="A176" s="156"/>
      <c r="B176" s="157" t="s">
        <v>1218</v>
      </c>
      <c r="C176" s="157" t="s">
        <v>1219</v>
      </c>
      <c r="D176" s="74">
        <v>36587</v>
      </c>
      <c r="E176" s="324">
        <f ca="1">IF(D176="","",($D$2-D176)/365.25)</f>
        <v>26.160164271047229</v>
      </c>
      <c r="F176" s="325" t="s">
        <v>1220</v>
      </c>
      <c r="G176" s="326">
        <v>57070</v>
      </c>
      <c r="H176" s="73" t="s">
        <v>1221</v>
      </c>
      <c r="I176" s="73"/>
      <c r="J176" s="73"/>
      <c r="K176" s="140" t="s">
        <v>1222</v>
      </c>
      <c r="L176" s="140" t="s">
        <v>314</v>
      </c>
      <c r="M176" s="140" t="s">
        <v>1223</v>
      </c>
      <c r="N176" s="140" t="s">
        <v>1224</v>
      </c>
      <c r="O176" s="140" t="s">
        <v>64</v>
      </c>
      <c r="P176" s="140" t="s">
        <v>273</v>
      </c>
      <c r="Q176" s="73" t="s">
        <v>1225</v>
      </c>
      <c r="R176" s="73" t="s">
        <v>358</v>
      </c>
      <c r="S176" s="74">
        <v>45926</v>
      </c>
      <c r="T176" s="73" t="s">
        <v>68</v>
      </c>
      <c r="U176" s="140"/>
      <c r="V176" s="140"/>
      <c r="W176" s="140" t="s">
        <v>46</v>
      </c>
      <c r="X176" s="140" t="s">
        <v>47</v>
      </c>
      <c r="Y176" s="140"/>
      <c r="Z176" s="140"/>
      <c r="AA176" s="74">
        <v>45708</v>
      </c>
      <c r="AB176" s="74">
        <v>45926</v>
      </c>
      <c r="AC176" s="72">
        <v>111200397111</v>
      </c>
      <c r="AD176" s="74"/>
      <c r="AE176" s="74">
        <v>45722</v>
      </c>
      <c r="AF176" s="74">
        <v>45723</v>
      </c>
      <c r="AG176" s="327">
        <f>IF(AD176="",IF(AE176="","",AF176+365.25*2),AF176+365.25*2)</f>
        <v>46453.5</v>
      </c>
      <c r="AH176" s="221">
        <v>45926</v>
      </c>
      <c r="AI176" s="101">
        <v>45926</v>
      </c>
      <c r="AJ176" t="s">
        <v>995</v>
      </c>
    </row>
    <row r="177" spans="1:35">
      <c r="A177" s="355"/>
      <c r="B177" s="354" t="s">
        <v>1226</v>
      </c>
      <c r="C177" s="103" t="s">
        <v>1227</v>
      </c>
      <c r="D177" s="356">
        <v>36234</v>
      </c>
      <c r="E177" s="324">
        <f ca="1">IF(D177="","",($D$2-D177)/365.25)</f>
        <v>27.126625598904859</v>
      </c>
      <c r="F177" s="325" t="s">
        <v>1228</v>
      </c>
      <c r="G177" s="326">
        <v>94400</v>
      </c>
      <c r="H177" s="73" t="s">
        <v>1229</v>
      </c>
      <c r="I177" s="73"/>
      <c r="J177" s="73"/>
      <c r="K177" s="140" t="s">
        <v>1230</v>
      </c>
      <c r="L177" s="140" t="s">
        <v>1231</v>
      </c>
      <c r="M177" s="140" t="s">
        <v>1232</v>
      </c>
      <c r="N177" s="140" t="s">
        <v>1233</v>
      </c>
      <c r="O177" s="140" t="s">
        <v>64</v>
      </c>
      <c r="P177" s="140" t="s">
        <v>65</v>
      </c>
      <c r="Q177" s="73" t="s">
        <v>121</v>
      </c>
      <c r="R177" s="73" t="s">
        <v>67</v>
      </c>
      <c r="S177" s="73"/>
      <c r="T177" s="73" t="s">
        <v>68</v>
      </c>
      <c r="U177" s="140"/>
      <c r="V177" s="140"/>
      <c r="W177" s="140" t="s">
        <v>46</v>
      </c>
      <c r="X177" s="140" t="s">
        <v>47</v>
      </c>
      <c r="Y177" s="140"/>
      <c r="Z177" s="140"/>
      <c r="AA177" s="74">
        <v>45873</v>
      </c>
      <c r="AB177" s="74">
        <f t="shared" ref="AB177" si="32">IF(AA177="","",AA177+365.25*3)</f>
        <v>46968.75</v>
      </c>
      <c r="AC177" s="72" t="s">
        <v>1234</v>
      </c>
      <c r="AD177" s="345">
        <v>45961</v>
      </c>
      <c r="AE177" s="74"/>
      <c r="AF177" s="104"/>
      <c r="AG177" s="229"/>
      <c r="AH177" s="103"/>
      <c r="AI177" s="245"/>
    </row>
    <row r="179" spans="1:35">
      <c r="B179" s="18">
        <f>SUBTOTAL(3,B145:B178)</f>
        <v>33</v>
      </c>
      <c r="AH179" s="18">
        <f>SUBTOTAL(3,AH145:AH178)</f>
        <v>25</v>
      </c>
      <c r="AI179" s="18">
        <f>SUBTOTAL(3,AI145:AI178)</f>
        <v>30</v>
      </c>
    </row>
    <row r="183" spans="1:35">
      <c r="A183" s="38"/>
      <c r="B183" s="4" t="s">
        <v>1235</v>
      </c>
      <c r="C183" s="4" t="s">
        <v>1236</v>
      </c>
      <c r="D183" s="19">
        <v>30599</v>
      </c>
      <c r="E183" s="46">
        <f t="shared" ref="E183:E198" ca="1" si="33">IF(D183="","",($D$2-D183)/365.25)</f>
        <v>42.554414784394254</v>
      </c>
      <c r="F183" s="16" t="s">
        <v>1237</v>
      </c>
      <c r="G183" s="14">
        <v>91190</v>
      </c>
      <c r="H183" s="4" t="s">
        <v>1238</v>
      </c>
      <c r="I183" s="4"/>
      <c r="J183" s="4"/>
      <c r="K183" s="17"/>
      <c r="L183" s="17"/>
      <c r="M183" s="17"/>
      <c r="N183" s="17"/>
      <c r="O183" s="17" t="s">
        <v>64</v>
      </c>
      <c r="P183" s="17" t="s">
        <v>65</v>
      </c>
      <c r="Q183" s="4"/>
      <c r="R183" s="4"/>
      <c r="S183" s="4"/>
      <c r="T183" s="53" t="s">
        <v>68</v>
      </c>
      <c r="U183" s="17"/>
      <c r="V183" s="17"/>
      <c r="W183" s="17" t="s">
        <v>46</v>
      </c>
      <c r="X183" s="17" t="s">
        <v>47</v>
      </c>
      <c r="Y183" s="17"/>
      <c r="Z183" s="17"/>
      <c r="AA183" s="4"/>
      <c r="AB183" s="19" t="str">
        <f t="shared" ref="AB183:AB189" si="34">IF(AA183="","",AA183+365.25*3)</f>
        <v/>
      </c>
      <c r="AC183" s="38"/>
      <c r="AD183" s="19"/>
      <c r="AE183" s="50"/>
      <c r="AF183" s="19"/>
      <c r="AG183" s="19" t="str">
        <f>IF(AD183="",IF(AE183="","",AF183+365.25*2),AF183+365.25*2)</f>
        <v/>
      </c>
      <c r="AI183"/>
    </row>
    <row r="184" spans="1:35">
      <c r="A184" s="38"/>
      <c r="B184" s="4" t="s">
        <v>1239</v>
      </c>
      <c r="C184" s="4" t="s">
        <v>1240</v>
      </c>
      <c r="D184" s="19">
        <v>29169</v>
      </c>
      <c r="E184" s="46">
        <f t="shared" ca="1" si="33"/>
        <v>46.469541409993155</v>
      </c>
      <c r="F184" s="16" t="s">
        <v>1241</v>
      </c>
      <c r="G184" s="14">
        <v>13300</v>
      </c>
      <c r="H184" s="4" t="s">
        <v>1242</v>
      </c>
      <c r="I184" s="4"/>
      <c r="J184" s="4"/>
      <c r="K184" s="17" t="s">
        <v>1243</v>
      </c>
      <c r="L184" s="17" t="s">
        <v>96</v>
      </c>
      <c r="M184" s="17" t="s">
        <v>1244</v>
      </c>
      <c r="N184" s="17" t="s">
        <v>254</v>
      </c>
      <c r="O184" s="17" t="s">
        <v>898</v>
      </c>
      <c r="P184" s="17" t="s">
        <v>190</v>
      </c>
      <c r="Q184" s="4" t="s">
        <v>1245</v>
      </c>
      <c r="R184" s="4" t="s">
        <v>67</v>
      </c>
      <c r="S184" s="4"/>
      <c r="T184" s="4" t="s">
        <v>68</v>
      </c>
      <c r="U184" s="17"/>
      <c r="V184" s="17"/>
      <c r="W184" s="17" t="s">
        <v>46</v>
      </c>
      <c r="X184" s="17" t="s">
        <v>47</v>
      </c>
      <c r="Y184" s="17"/>
      <c r="Z184" s="17"/>
      <c r="AA184" s="19"/>
      <c r="AB184" s="19" t="str">
        <f t="shared" si="34"/>
        <v/>
      </c>
      <c r="AC184" s="38"/>
      <c r="AD184" s="19"/>
      <c r="AE184" s="50"/>
      <c r="AF184" s="19"/>
      <c r="AG184" s="19" t="str">
        <f>IF(AD184="",IF(AE184="","",AF184+365.25*2),AF184+365.25*2)</f>
        <v/>
      </c>
      <c r="AI184"/>
    </row>
    <row r="185" spans="1:35">
      <c r="A185" s="38"/>
      <c r="B185" s="53" t="s">
        <v>1246</v>
      </c>
      <c r="C185" s="4" t="s">
        <v>587</v>
      </c>
      <c r="D185" s="19">
        <v>24649</v>
      </c>
      <c r="E185" s="46">
        <f t="shared" ca="1" si="33"/>
        <v>58.844626967830251</v>
      </c>
      <c r="F185" s="16" t="s">
        <v>1247</v>
      </c>
      <c r="G185" s="14">
        <v>35170</v>
      </c>
      <c r="H185" s="4" t="s">
        <v>1248</v>
      </c>
      <c r="I185" s="4"/>
      <c r="J185" s="4"/>
      <c r="K185" s="17" t="s">
        <v>1249</v>
      </c>
      <c r="L185" s="17" t="s">
        <v>1250</v>
      </c>
      <c r="M185" s="17" t="s">
        <v>1251</v>
      </c>
      <c r="N185" s="17" t="s">
        <v>1252</v>
      </c>
      <c r="O185" s="17" t="s">
        <v>64</v>
      </c>
      <c r="P185" s="17" t="s">
        <v>65</v>
      </c>
      <c r="Q185" s="4" t="s">
        <v>1107</v>
      </c>
      <c r="R185" s="4" t="s">
        <v>67</v>
      </c>
      <c r="S185" s="4"/>
      <c r="T185" s="53" t="s">
        <v>68</v>
      </c>
      <c r="U185" s="17"/>
      <c r="V185" s="17"/>
      <c r="W185" s="17" t="s">
        <v>46</v>
      </c>
      <c r="X185" s="17" t="s">
        <v>47</v>
      </c>
      <c r="Y185" s="17"/>
      <c r="Z185" s="17"/>
      <c r="AA185" s="19"/>
      <c r="AB185" s="19" t="str">
        <f t="shared" si="34"/>
        <v/>
      </c>
      <c r="AC185" s="38"/>
      <c r="AD185" s="50"/>
      <c r="AE185" s="121"/>
      <c r="AF185" s="19"/>
      <c r="AG185" s="167" t="str">
        <f>IF(AD185="",IF(AE185="","",AF185+365.25*2),AF185+365.25*2)</f>
        <v/>
      </c>
      <c r="AI185"/>
    </row>
    <row r="186" spans="1:35">
      <c r="A186" s="38"/>
      <c r="B186" s="55" t="s">
        <v>1253</v>
      </c>
      <c r="C186" s="4" t="s">
        <v>968</v>
      </c>
      <c r="D186" s="19">
        <v>23655</v>
      </c>
      <c r="E186" s="46">
        <f t="shared" ca="1" si="33"/>
        <v>61.566050650239561</v>
      </c>
      <c r="F186" s="16"/>
      <c r="G186" s="14"/>
      <c r="H186" s="4"/>
      <c r="I186" s="4"/>
      <c r="J186" s="4"/>
      <c r="K186" s="17"/>
      <c r="L186" s="17"/>
      <c r="M186" s="17"/>
      <c r="N186" s="17"/>
      <c r="O186" s="17"/>
      <c r="P186" s="17"/>
      <c r="Q186" s="4" t="s">
        <v>1254</v>
      </c>
      <c r="R186" s="4" t="s">
        <v>67</v>
      </c>
      <c r="S186" s="4"/>
      <c r="T186" s="4"/>
      <c r="U186" s="17"/>
      <c r="V186" s="17"/>
      <c r="W186" s="17"/>
      <c r="X186" s="17"/>
      <c r="Y186" s="17"/>
      <c r="Z186" s="17"/>
      <c r="AA186" s="4"/>
      <c r="AB186" s="19" t="str">
        <f t="shared" si="34"/>
        <v/>
      </c>
      <c r="AC186" s="38"/>
      <c r="AD186" s="19"/>
      <c r="AE186" s="19"/>
      <c r="AF186" s="19"/>
      <c r="AG186" s="19" t="str">
        <f>IF(AD186="",IF(AE186="","",AF186+365.25*3),AF186+365.25*2)</f>
        <v/>
      </c>
    </row>
    <row r="187" spans="1:35">
      <c r="A187" s="248"/>
      <c r="B187" s="53" t="s">
        <v>1255</v>
      </c>
      <c r="C187" s="4" t="s">
        <v>476</v>
      </c>
      <c r="D187" s="19">
        <v>27036</v>
      </c>
      <c r="E187" s="46">
        <f t="shared" ca="1" si="33"/>
        <v>52.309377138945926</v>
      </c>
      <c r="F187" s="16" t="s">
        <v>1256</v>
      </c>
      <c r="G187" s="14">
        <v>94360</v>
      </c>
      <c r="H187" s="4" t="s">
        <v>1257</v>
      </c>
      <c r="I187" s="4"/>
      <c r="J187" s="4"/>
      <c r="K187" s="17" t="s">
        <v>1258</v>
      </c>
      <c r="L187" s="17" t="s">
        <v>1259</v>
      </c>
      <c r="M187" s="17" t="s">
        <v>1260</v>
      </c>
      <c r="N187" s="17" t="s">
        <v>1261</v>
      </c>
      <c r="O187" s="17" t="s">
        <v>64</v>
      </c>
      <c r="P187" s="17" t="s">
        <v>65</v>
      </c>
      <c r="Q187" s="4" t="s">
        <v>121</v>
      </c>
      <c r="R187" s="4" t="s">
        <v>67</v>
      </c>
      <c r="S187" s="4"/>
      <c r="T187" s="53" t="s">
        <v>68</v>
      </c>
      <c r="U187" s="17"/>
      <c r="V187" s="17"/>
      <c r="W187" s="17" t="s">
        <v>46</v>
      </c>
      <c r="X187" s="17" t="s">
        <v>47</v>
      </c>
      <c r="Y187" s="17"/>
      <c r="Z187" s="17"/>
      <c r="AA187" s="19"/>
      <c r="AB187" s="19" t="str">
        <f t="shared" si="34"/>
        <v/>
      </c>
      <c r="AC187" s="38"/>
      <c r="AD187" s="50"/>
      <c r="AE187" s="121"/>
      <c r="AF187" s="222"/>
      <c r="AG187" s="109" t="str">
        <f>IF(AD187="",IF(AE187="","",AF187+365.25*2),AF187+365.25*2)</f>
        <v/>
      </c>
      <c r="AH187" s="108"/>
      <c r="AI187" s="108"/>
    </row>
    <row r="188" spans="1:35">
      <c r="A188" s="38"/>
      <c r="B188" s="4" t="s">
        <v>1262</v>
      </c>
      <c r="C188" s="4" t="s">
        <v>61</v>
      </c>
      <c r="D188" s="19">
        <v>26435</v>
      </c>
      <c r="E188" s="46">
        <f t="shared" ca="1" si="33"/>
        <v>53.954825462012323</v>
      </c>
      <c r="F188" s="16" t="s">
        <v>1263</v>
      </c>
      <c r="G188" s="14">
        <v>78730</v>
      </c>
      <c r="H188" s="4" t="s">
        <v>1264</v>
      </c>
      <c r="I188" s="4"/>
      <c r="J188" s="4"/>
      <c r="K188" s="17" t="s">
        <v>1265</v>
      </c>
      <c r="L188" s="17" t="s">
        <v>1266</v>
      </c>
      <c r="M188" s="17" t="s">
        <v>1267</v>
      </c>
      <c r="N188" s="17" t="s">
        <v>1268</v>
      </c>
      <c r="O188" s="17" t="s">
        <v>64</v>
      </c>
      <c r="P188" s="17" t="s">
        <v>65</v>
      </c>
      <c r="Q188" s="4" t="s">
        <v>376</v>
      </c>
      <c r="R188" s="4" t="s">
        <v>67</v>
      </c>
      <c r="S188" s="4"/>
      <c r="T188" s="53" t="s">
        <v>68</v>
      </c>
      <c r="U188" s="17"/>
      <c r="V188" s="17"/>
      <c r="W188" s="17" t="s">
        <v>46</v>
      </c>
      <c r="X188" s="17" t="s">
        <v>47</v>
      </c>
      <c r="Y188" s="17"/>
      <c r="Z188" s="17"/>
      <c r="AA188" s="4"/>
      <c r="AB188" s="19" t="str">
        <f t="shared" si="34"/>
        <v/>
      </c>
      <c r="AC188" s="38"/>
      <c r="AD188" s="50"/>
      <c r="AE188" s="19"/>
      <c r="AF188" s="19"/>
      <c r="AG188" s="19" t="str">
        <f>IF(AD188="",IF(AE188="","",AF188+365.25*2),AF188+365.25*2)</f>
        <v/>
      </c>
      <c r="AI188"/>
    </row>
    <row r="189" spans="1:35">
      <c r="A189" s="139"/>
      <c r="B189" s="53" t="s">
        <v>1269</v>
      </c>
      <c r="C189" s="4" t="s">
        <v>1270</v>
      </c>
      <c r="D189" s="19">
        <v>27079</v>
      </c>
      <c r="E189" s="46">
        <f t="shared" ca="1" si="33"/>
        <v>52.191649555099247</v>
      </c>
      <c r="F189" s="16" t="s">
        <v>1271</v>
      </c>
      <c r="G189" s="14">
        <v>33130</v>
      </c>
      <c r="H189" s="4" t="s">
        <v>1272</v>
      </c>
      <c r="I189" s="4"/>
      <c r="J189" s="4"/>
      <c r="K189" s="17" t="s">
        <v>1273</v>
      </c>
      <c r="L189" s="17" t="s">
        <v>1274</v>
      </c>
      <c r="M189" s="17" t="s">
        <v>1275</v>
      </c>
      <c r="N189" s="17" t="s">
        <v>1276</v>
      </c>
      <c r="O189" s="17" t="s">
        <v>64</v>
      </c>
      <c r="P189" s="17" t="s">
        <v>190</v>
      </c>
      <c r="Q189" s="4" t="s">
        <v>1277</v>
      </c>
      <c r="R189" s="4" t="s">
        <v>67</v>
      </c>
      <c r="S189" s="4"/>
      <c r="T189" s="53" t="s">
        <v>68</v>
      </c>
      <c r="U189" s="17"/>
      <c r="V189" s="17"/>
      <c r="W189" s="17" t="s">
        <v>46</v>
      </c>
      <c r="X189" s="17" t="s">
        <v>47</v>
      </c>
      <c r="Y189" s="17"/>
      <c r="Z189" s="17"/>
      <c r="AA189" s="281"/>
      <c r="AB189" s="19" t="str">
        <f t="shared" si="34"/>
        <v/>
      </c>
      <c r="AC189" s="38"/>
      <c r="AD189" s="50"/>
      <c r="AE189" s="19"/>
      <c r="AF189" s="222"/>
      <c r="AG189" s="109" t="str">
        <f>IF(AD189="",IF(AE189="","",AF189+365.25*2),AF189+365.25*2)</f>
        <v/>
      </c>
      <c r="AI189"/>
    </row>
    <row r="190" spans="1:35">
      <c r="A190" s="38"/>
      <c r="B190" s="189" t="s">
        <v>1278</v>
      </c>
      <c r="C190" s="4" t="s">
        <v>1279</v>
      </c>
      <c r="D190" s="19">
        <v>29306</v>
      </c>
      <c r="E190" s="46">
        <f t="shared" ca="1" si="33"/>
        <v>46.094455852156059</v>
      </c>
      <c r="F190" s="16" t="s">
        <v>1280</v>
      </c>
      <c r="G190" s="14">
        <v>85420</v>
      </c>
      <c r="H190" s="4" t="s">
        <v>1281</v>
      </c>
      <c r="I190" s="4"/>
      <c r="J190" s="4"/>
      <c r="K190" s="17" t="s">
        <v>1282</v>
      </c>
      <c r="L190" s="17" t="s">
        <v>1283</v>
      </c>
      <c r="M190" s="17" t="s">
        <v>1284</v>
      </c>
      <c r="N190" s="17" t="s">
        <v>1285</v>
      </c>
      <c r="O190" s="17" t="s">
        <v>64</v>
      </c>
      <c r="P190" s="17" t="s">
        <v>65</v>
      </c>
      <c r="Q190" s="4" t="s">
        <v>229</v>
      </c>
      <c r="R190" s="4" t="s">
        <v>67</v>
      </c>
      <c r="S190" s="4"/>
      <c r="T190" s="4"/>
      <c r="U190" s="17"/>
      <c r="V190" s="17"/>
      <c r="W190" s="17"/>
      <c r="X190" s="17"/>
      <c r="Y190" s="17"/>
      <c r="Z190" s="17"/>
      <c r="AA190" s="19"/>
      <c r="AB190" s="19"/>
      <c r="AC190" s="38"/>
      <c r="AD190" s="19"/>
      <c r="AE190" s="19"/>
      <c r="AF190" s="19"/>
      <c r="AG190" s="167" t="str">
        <f>IF(AD190="",IF(AE190="","",AF190+365.25*3),AF190+365.25*2)</f>
        <v/>
      </c>
      <c r="AH190" t="s">
        <v>1286</v>
      </c>
      <c r="AI190"/>
    </row>
    <row r="191" spans="1:35">
      <c r="A191" s="132"/>
      <c r="B191" s="405" t="s">
        <v>1287</v>
      </c>
      <c r="C191" s="108" t="s">
        <v>1288</v>
      </c>
      <c r="D191" s="109">
        <v>33234</v>
      </c>
      <c r="E191" s="94">
        <f t="shared" ca="1" si="33"/>
        <v>35.340177960301162</v>
      </c>
      <c r="F191" s="110"/>
      <c r="G191" s="111"/>
      <c r="H191" s="108"/>
      <c r="I191" s="108"/>
      <c r="J191" s="108"/>
      <c r="K191" s="112"/>
      <c r="L191" s="112"/>
      <c r="M191" s="112"/>
      <c r="N191" s="112"/>
      <c r="O191" s="112"/>
      <c r="P191" s="112"/>
      <c r="Q191" s="108" t="s">
        <v>1289</v>
      </c>
      <c r="R191" s="108" t="s">
        <v>67</v>
      </c>
      <c r="S191" s="108"/>
      <c r="T191" s="108"/>
      <c r="U191" s="112"/>
      <c r="V191" s="112"/>
      <c r="W191" s="112"/>
      <c r="X191" s="112"/>
      <c r="Y191" s="112"/>
      <c r="Z191" s="112"/>
      <c r="AA191" s="108"/>
      <c r="AB191" s="109" t="str">
        <f>IF(AA191="","",AA191+365.25*3)</f>
        <v/>
      </c>
      <c r="AC191" s="132"/>
      <c r="AD191" s="109"/>
      <c r="AE191" s="109"/>
      <c r="AF191" s="109"/>
      <c r="AG191" s="109" t="str">
        <f>IF(AD191="",IF(AE191="","",AF191+365.25*3),AF191+365.25*2)</f>
        <v/>
      </c>
    </row>
    <row r="192" spans="1:35">
      <c r="A192" s="38"/>
      <c r="B192" s="4" t="s">
        <v>1290</v>
      </c>
      <c r="C192" s="4" t="s">
        <v>1291</v>
      </c>
      <c r="D192" s="19">
        <v>32142</v>
      </c>
      <c r="E192" s="46">
        <f t="shared" ca="1" si="33"/>
        <v>38.329911019849419</v>
      </c>
      <c r="F192" s="16" t="s">
        <v>1292</v>
      </c>
      <c r="G192" s="14">
        <v>73130</v>
      </c>
      <c r="H192" s="4" t="s">
        <v>1293</v>
      </c>
      <c r="I192" s="4"/>
      <c r="J192" s="4"/>
      <c r="K192" s="17"/>
      <c r="L192" s="17"/>
      <c r="M192" s="17"/>
      <c r="N192" s="17"/>
      <c r="O192" s="17"/>
      <c r="P192" s="17"/>
      <c r="Q192" s="4"/>
      <c r="R192" s="4"/>
      <c r="S192" s="4"/>
      <c r="T192" s="53" t="s">
        <v>68</v>
      </c>
      <c r="U192" s="17"/>
      <c r="V192" s="17"/>
      <c r="W192" s="17" t="s">
        <v>46</v>
      </c>
      <c r="X192" s="17" t="s">
        <v>47</v>
      </c>
      <c r="Y192" s="17"/>
      <c r="Z192" s="17"/>
      <c r="AA192" s="4"/>
      <c r="AB192" s="109" t="str">
        <f>IF(AA192="","",AA192+365.25*3)</f>
        <v/>
      </c>
      <c r="AC192" s="38"/>
      <c r="AD192" s="50"/>
      <c r="AE192" s="19"/>
      <c r="AF192" s="19"/>
      <c r="AG192" s="109" t="str">
        <f>IF(AD192="",IF(AE192="","",AF192+365.25*2),AF192+365.25*2)</f>
        <v/>
      </c>
      <c r="AI192"/>
    </row>
    <row r="193" spans="1:35">
      <c r="A193" s="38"/>
      <c r="B193" s="53" t="s">
        <v>1294</v>
      </c>
      <c r="C193" s="4" t="s">
        <v>476</v>
      </c>
      <c r="D193" s="19">
        <v>25964</v>
      </c>
      <c r="E193" s="46">
        <f t="shared" ca="1" si="33"/>
        <v>55.244353182751539</v>
      </c>
      <c r="F193" s="16" t="s">
        <v>1295</v>
      </c>
      <c r="G193" s="14">
        <v>91700</v>
      </c>
      <c r="H193" s="4" t="s">
        <v>1296</v>
      </c>
      <c r="I193" s="4"/>
      <c r="J193" s="4"/>
      <c r="K193" s="17" t="s">
        <v>1297</v>
      </c>
      <c r="L193" s="17" t="s">
        <v>660</v>
      </c>
      <c r="M193" s="17" t="s">
        <v>1298</v>
      </c>
      <c r="N193" s="17" t="s">
        <v>1299</v>
      </c>
      <c r="O193" s="17" t="s">
        <v>64</v>
      </c>
      <c r="P193" s="17" t="s">
        <v>65</v>
      </c>
      <c r="Q193" s="4" t="s">
        <v>1300</v>
      </c>
      <c r="R193" s="4" t="s">
        <v>67</v>
      </c>
      <c r="S193" s="4"/>
      <c r="T193" s="53" t="s">
        <v>68</v>
      </c>
      <c r="U193" s="17"/>
      <c r="V193" s="17"/>
      <c r="W193" s="17" t="s">
        <v>46</v>
      </c>
      <c r="X193" s="17" t="s">
        <v>47</v>
      </c>
      <c r="Y193" s="17"/>
      <c r="Z193" s="17"/>
      <c r="AA193" s="4"/>
      <c r="AB193" s="19" t="str">
        <f>IF(AA193="","",AA193+365.25*3)</f>
        <v/>
      </c>
      <c r="AC193" s="38"/>
      <c r="AD193" s="50"/>
      <c r="AE193" s="19"/>
      <c r="AF193" s="19"/>
      <c r="AG193" s="167" t="str">
        <f>IF(AD193="",IF(AE193="","",AF193+365.25*2),AF193+365.25*2)</f>
        <v/>
      </c>
      <c r="AI193"/>
    </row>
    <row r="194" spans="1:35">
      <c r="A194" s="38"/>
      <c r="B194" s="4" t="s">
        <v>1301</v>
      </c>
      <c r="C194" s="4" t="s">
        <v>511</v>
      </c>
      <c r="D194" s="19">
        <v>25317</v>
      </c>
      <c r="E194" s="46">
        <f t="shared" ca="1" si="33"/>
        <v>57.015742642026012</v>
      </c>
      <c r="F194" s="23" t="s">
        <v>1302</v>
      </c>
      <c r="G194" s="14">
        <v>92800</v>
      </c>
      <c r="H194" s="4" t="s">
        <v>1303</v>
      </c>
      <c r="I194" s="4"/>
      <c r="J194" s="4"/>
      <c r="K194" s="17" t="s">
        <v>1304</v>
      </c>
      <c r="L194" s="17" t="s">
        <v>1104</v>
      </c>
      <c r="M194" s="17" t="s">
        <v>1305</v>
      </c>
      <c r="N194" s="17" t="s">
        <v>215</v>
      </c>
      <c r="O194" s="17" t="s">
        <v>64</v>
      </c>
      <c r="P194" s="17" t="s">
        <v>65</v>
      </c>
      <c r="Q194" s="4" t="s">
        <v>1306</v>
      </c>
      <c r="R194" s="4" t="s">
        <v>67</v>
      </c>
      <c r="S194" s="17"/>
      <c r="T194" s="53" t="s">
        <v>68</v>
      </c>
      <c r="U194" s="17"/>
      <c r="V194" s="17"/>
      <c r="W194" s="17" t="s">
        <v>46</v>
      </c>
      <c r="X194" s="17" t="s">
        <v>47</v>
      </c>
      <c r="Y194" s="17" t="s">
        <v>48</v>
      </c>
      <c r="Z194" s="17"/>
      <c r="AA194" s="19"/>
      <c r="AB194" s="19"/>
      <c r="AC194" s="38"/>
      <c r="AD194" s="50"/>
      <c r="AE194" s="19"/>
      <c r="AF194" s="19"/>
      <c r="AG194" s="167" t="str">
        <f>IF(AD194="",IF(AE194="","",AF194+365.25*2),AF194+365.25*2)</f>
        <v/>
      </c>
      <c r="AI194"/>
    </row>
    <row r="195" spans="1:35">
      <c r="A195" s="38"/>
      <c r="B195" s="4" t="s">
        <v>1085</v>
      </c>
      <c r="C195" s="4" t="s">
        <v>1307</v>
      </c>
      <c r="D195" s="19">
        <v>25878</v>
      </c>
      <c r="E195" s="46">
        <f t="shared" ca="1" si="33"/>
        <v>55.479808350444898</v>
      </c>
      <c r="F195" s="23"/>
      <c r="G195" s="14"/>
      <c r="H195" s="4"/>
      <c r="I195" s="4"/>
      <c r="J195" s="4"/>
      <c r="K195" s="17"/>
      <c r="L195" s="17"/>
      <c r="M195" s="17"/>
      <c r="N195" s="17"/>
      <c r="O195" s="17" t="s">
        <v>64</v>
      </c>
      <c r="P195" s="17" t="s">
        <v>100</v>
      </c>
      <c r="Q195" s="4"/>
      <c r="R195" s="4" t="s">
        <v>67</v>
      </c>
      <c r="S195" s="17"/>
      <c r="T195" s="4"/>
      <c r="U195" s="17"/>
      <c r="V195" s="17"/>
      <c r="W195" s="17" t="s">
        <v>46</v>
      </c>
      <c r="X195" s="17" t="s">
        <v>47</v>
      </c>
      <c r="Y195" s="17"/>
      <c r="Z195" s="17"/>
      <c r="AA195" s="19"/>
      <c r="AB195" s="19" t="str">
        <f>IF(AA195="","",AA195+365.25*3)</f>
        <v/>
      </c>
      <c r="AC195" s="38"/>
      <c r="AD195" s="19"/>
      <c r="AE195" s="50"/>
      <c r="AF195" s="19"/>
      <c r="AG195" s="167" t="str">
        <f>IF(AD195="",IF(AE195="","",AF195+365.25*2),AF195+365.25*2)</f>
        <v/>
      </c>
      <c r="AI195"/>
    </row>
    <row r="196" spans="1:35">
      <c r="A196" s="38"/>
      <c r="B196" s="53" t="s">
        <v>1308</v>
      </c>
      <c r="C196" s="4" t="s">
        <v>1309</v>
      </c>
      <c r="D196" s="19">
        <v>28524</v>
      </c>
      <c r="E196" s="46">
        <f t="shared" ca="1" si="33"/>
        <v>48.23545516769336</v>
      </c>
      <c r="F196" s="16" t="s">
        <v>1310</v>
      </c>
      <c r="G196" s="14">
        <v>91530</v>
      </c>
      <c r="H196" s="4" t="s">
        <v>1311</v>
      </c>
      <c r="I196" s="4"/>
      <c r="J196" s="4"/>
      <c r="K196" s="17" t="s">
        <v>1312</v>
      </c>
      <c r="L196" s="17" t="s">
        <v>226</v>
      </c>
      <c r="M196" s="17" t="s">
        <v>1313</v>
      </c>
      <c r="N196" s="17" t="s">
        <v>1314</v>
      </c>
      <c r="O196" s="17" t="s">
        <v>64</v>
      </c>
      <c r="P196" s="17" t="s">
        <v>65</v>
      </c>
      <c r="Q196" s="4" t="s">
        <v>1315</v>
      </c>
      <c r="R196" s="4" t="s">
        <v>67</v>
      </c>
      <c r="S196" s="4"/>
      <c r="T196" s="53" t="s">
        <v>68</v>
      </c>
      <c r="U196" s="17"/>
      <c r="V196" s="17"/>
      <c r="W196" s="17" t="s">
        <v>46</v>
      </c>
      <c r="X196" s="17" t="s">
        <v>47</v>
      </c>
      <c r="Y196" s="17"/>
      <c r="Z196" s="17"/>
      <c r="AA196" s="4"/>
      <c r="AB196" s="19" t="str">
        <f>IF(AA196="","",AA196+365.25*3)</f>
        <v/>
      </c>
      <c r="AC196" s="38"/>
      <c r="AD196" s="50"/>
      <c r="AE196" s="19"/>
      <c r="AF196" s="19"/>
      <c r="AG196" s="167" t="str">
        <f>IF(AD196="",IF(AE196="","",AF196+365.25*2),AF196+365.25*2)</f>
        <v/>
      </c>
      <c r="AI196"/>
    </row>
    <row r="197" spans="1:35">
      <c r="A197" s="38"/>
      <c r="B197" s="53" t="s">
        <v>1316</v>
      </c>
      <c r="C197" s="4" t="s">
        <v>1317</v>
      </c>
      <c r="D197" s="19">
        <v>23571</v>
      </c>
      <c r="E197" s="46">
        <f t="shared" ca="1" si="33"/>
        <v>61.796030116358658</v>
      </c>
      <c r="F197" s="16"/>
      <c r="G197" s="14"/>
      <c r="H197" s="4"/>
      <c r="I197" s="4"/>
      <c r="J197" s="4"/>
      <c r="K197" s="17"/>
      <c r="L197" s="17"/>
      <c r="M197" s="17"/>
      <c r="N197" s="17"/>
      <c r="O197" s="17"/>
      <c r="P197" s="17"/>
      <c r="Q197" s="4" t="s">
        <v>1318</v>
      </c>
      <c r="R197" s="4" t="s">
        <v>67</v>
      </c>
      <c r="S197" s="4"/>
      <c r="T197" s="53" t="s">
        <v>68</v>
      </c>
      <c r="U197" s="17"/>
      <c r="V197" s="17"/>
      <c r="W197" s="17" t="s">
        <v>46</v>
      </c>
      <c r="X197" s="17" t="s">
        <v>47</v>
      </c>
      <c r="Y197" s="17"/>
      <c r="Z197" s="17"/>
      <c r="AA197" s="4"/>
      <c r="AB197" s="19" t="str">
        <f>IF(AA197="","",AA197+365.25*3)</f>
        <v/>
      </c>
      <c r="AC197" s="38"/>
      <c r="AD197" s="19"/>
      <c r="AE197" s="19"/>
      <c r="AF197" s="19"/>
      <c r="AG197" s="167" t="str">
        <f>IF(AD197="",IF(AE197="","",AF197+365.25*3),AF197+365.25*2)</f>
        <v/>
      </c>
      <c r="AI197"/>
    </row>
    <row r="198" spans="1:35">
      <c r="A198" s="38"/>
      <c r="B198" s="4" t="s">
        <v>1319</v>
      </c>
      <c r="C198" s="4" t="s">
        <v>1320</v>
      </c>
      <c r="D198" s="19">
        <v>32726</v>
      </c>
      <c r="E198" s="46">
        <f t="shared" ca="1" si="33"/>
        <v>36.73100616016427</v>
      </c>
      <c r="F198" s="16" t="s">
        <v>1321</v>
      </c>
      <c r="G198" s="14">
        <v>93330</v>
      </c>
      <c r="H198" s="4" t="s">
        <v>1322</v>
      </c>
      <c r="I198" s="4"/>
      <c r="J198" s="4"/>
      <c r="K198" s="17" t="s">
        <v>1323</v>
      </c>
      <c r="L198" s="17" t="s">
        <v>1324</v>
      </c>
      <c r="M198" s="17" t="s">
        <v>1325</v>
      </c>
      <c r="N198" s="17" t="s">
        <v>1326</v>
      </c>
      <c r="O198" s="49"/>
      <c r="P198" s="17" t="s">
        <v>65</v>
      </c>
      <c r="Q198" s="4"/>
      <c r="R198" s="4"/>
      <c r="S198" s="4"/>
      <c r="T198" s="53" t="s">
        <v>68</v>
      </c>
      <c r="U198" s="17"/>
      <c r="V198" s="17"/>
      <c r="W198" s="17" t="s">
        <v>46</v>
      </c>
      <c r="X198" s="17" t="s">
        <v>47</v>
      </c>
      <c r="Y198" s="17"/>
      <c r="Z198" s="17"/>
      <c r="AA198" s="4"/>
      <c r="AB198" s="19" t="str">
        <f>IF(AA198="","",AA198+365.25*3)</f>
        <v/>
      </c>
      <c r="AC198" s="38"/>
      <c r="AD198" s="50"/>
      <c r="AE198" s="19"/>
      <c r="AF198" s="19"/>
      <c r="AG198" s="167" t="str">
        <f>IF(AD198="",IF(AE198="","",AF198+365.25*2),AF198+365.25*2)</f>
        <v/>
      </c>
      <c r="AI198"/>
    </row>
    <row r="199" spans="1:35">
      <c r="A199" s="299"/>
      <c r="B199" s="108" t="s">
        <v>1327</v>
      </c>
      <c r="C199" s="108" t="s">
        <v>748</v>
      </c>
      <c r="D199" s="109"/>
      <c r="E199" s="94"/>
      <c r="F199" s="110"/>
      <c r="G199" s="111"/>
      <c r="H199" s="108"/>
      <c r="I199" s="108"/>
      <c r="J199" s="108"/>
      <c r="K199" s="112"/>
      <c r="L199" s="112"/>
      <c r="M199" s="112"/>
      <c r="N199" s="112"/>
      <c r="O199" s="292"/>
      <c r="P199" s="112"/>
      <c r="Q199" s="108" t="s">
        <v>1328</v>
      </c>
      <c r="R199" s="108" t="s">
        <v>67</v>
      </c>
      <c r="S199" s="108"/>
      <c r="T199" s="209" t="s">
        <v>68</v>
      </c>
      <c r="U199" s="112"/>
      <c r="V199" s="112"/>
      <c r="W199" s="112"/>
      <c r="X199" s="112"/>
      <c r="Y199" s="112"/>
      <c r="Z199" s="112"/>
      <c r="AA199" s="108"/>
      <c r="AB199" s="109"/>
      <c r="AC199" s="132"/>
      <c r="AD199" s="86"/>
      <c r="AE199" s="109"/>
      <c r="AF199" s="109"/>
      <c r="AG199" s="167"/>
      <c r="AI199"/>
    </row>
    <row r="200" spans="1:35">
      <c r="A200" s="404"/>
      <c r="B200" s="108" t="s">
        <v>1329</v>
      </c>
      <c r="C200" s="108" t="s">
        <v>601</v>
      </c>
      <c r="D200" s="109">
        <v>24404</v>
      </c>
      <c r="E200" s="94">
        <f ca="1">IF(D91="","",($D$2-D91)/365.25)</f>
        <v>54.001368925393564</v>
      </c>
      <c r="F200" s="110" t="s">
        <v>1330</v>
      </c>
      <c r="G200" s="111">
        <v>95620</v>
      </c>
      <c r="H200" s="108" t="s">
        <v>1331</v>
      </c>
      <c r="I200" s="108"/>
      <c r="J200" s="108"/>
      <c r="K200" s="112" t="s">
        <v>1332</v>
      </c>
      <c r="L200" s="112" t="s">
        <v>601</v>
      </c>
      <c r="M200" s="112" t="s">
        <v>1333</v>
      </c>
      <c r="N200" s="112" t="s">
        <v>1106</v>
      </c>
      <c r="O200" s="112" t="s">
        <v>64</v>
      </c>
      <c r="P200" s="112" t="s">
        <v>100</v>
      </c>
      <c r="Q200" s="108" t="s">
        <v>1334</v>
      </c>
      <c r="R200" s="108" t="s">
        <v>67</v>
      </c>
      <c r="S200" s="108"/>
      <c r="T200" s="209" t="s">
        <v>68</v>
      </c>
      <c r="U200" s="112"/>
      <c r="V200" s="112"/>
      <c r="W200" s="112" t="s">
        <v>46</v>
      </c>
      <c r="X200" s="112" t="s">
        <v>47</v>
      </c>
      <c r="Y200" s="112"/>
      <c r="Z200" s="112"/>
      <c r="AA200" s="109"/>
      <c r="AB200" s="109" t="str">
        <f>IF(AA200="","",AA200+365.25*3)</f>
        <v/>
      </c>
      <c r="AC200" s="132"/>
      <c r="AD200" s="86"/>
      <c r="AE200" s="109"/>
      <c r="AF200" s="109"/>
      <c r="AG200" s="167" t="str">
        <f t="shared" ref="AG200:AG207" si="35">IF(AD200="",IF(AE200="","",AF200+365.25*2),AF200+365.25*2)</f>
        <v/>
      </c>
      <c r="AI200"/>
    </row>
    <row r="201" spans="1:35">
      <c r="A201" s="38"/>
      <c r="B201" s="149" t="s">
        <v>1335</v>
      </c>
      <c r="C201" s="9" t="s">
        <v>1336</v>
      </c>
      <c r="D201" s="30">
        <v>32414</v>
      </c>
      <c r="E201" s="87">
        <f t="shared" ref="E201:E213" ca="1" si="36">IF(D201="","",($D$2-D201)/365.25)</f>
        <v>37.585215605749489</v>
      </c>
      <c r="F201" s="88" t="s">
        <v>1337</v>
      </c>
      <c r="G201" s="89">
        <v>93250</v>
      </c>
      <c r="H201" s="9" t="s">
        <v>1338</v>
      </c>
      <c r="I201" s="9"/>
      <c r="J201" s="9"/>
      <c r="K201" s="25" t="s">
        <v>1339</v>
      </c>
      <c r="L201" s="25" t="s">
        <v>549</v>
      </c>
      <c r="M201" s="25" t="s">
        <v>1340</v>
      </c>
      <c r="N201" s="25" t="s">
        <v>1341</v>
      </c>
      <c r="O201" s="25" t="s">
        <v>64</v>
      </c>
      <c r="P201" s="25" t="s">
        <v>100</v>
      </c>
      <c r="Q201" s="9" t="s">
        <v>1342</v>
      </c>
      <c r="R201" s="9" t="s">
        <v>67</v>
      </c>
      <c r="S201" s="9"/>
      <c r="T201" s="149" t="s">
        <v>68</v>
      </c>
      <c r="U201" s="25"/>
      <c r="V201" s="25"/>
      <c r="W201" s="25" t="s">
        <v>46</v>
      </c>
      <c r="X201" s="25" t="s">
        <v>47</v>
      </c>
      <c r="Y201" s="25"/>
      <c r="Z201" s="25"/>
      <c r="AA201" s="30"/>
      <c r="AB201" s="30" t="str">
        <f>IF(AA201="","",AA201+365.25*3)</f>
        <v/>
      </c>
      <c r="AC201" s="123"/>
      <c r="AD201" s="290"/>
      <c r="AE201" s="123"/>
      <c r="AF201" s="123"/>
      <c r="AG201" s="167" t="str">
        <f t="shared" si="35"/>
        <v/>
      </c>
      <c r="AI201"/>
    </row>
    <row r="202" spans="1:35">
      <c r="A202" s="38"/>
      <c r="B202" s="55" t="s">
        <v>1343</v>
      </c>
      <c r="C202" s="4" t="s">
        <v>1344</v>
      </c>
      <c r="D202" s="19">
        <v>36818</v>
      </c>
      <c r="E202" s="46">
        <f t="shared" ca="1" si="36"/>
        <v>25.527720739219713</v>
      </c>
      <c r="F202" s="16"/>
      <c r="G202" s="14"/>
      <c r="H202" s="4"/>
      <c r="I202" s="4"/>
      <c r="J202" s="4"/>
      <c r="K202" s="17"/>
      <c r="L202" s="17"/>
      <c r="M202" s="17"/>
      <c r="N202" s="17"/>
      <c r="O202" s="17"/>
      <c r="P202" s="17"/>
      <c r="Q202" s="4"/>
      <c r="R202" s="4"/>
      <c r="S202" s="4"/>
      <c r="T202" s="53" t="s">
        <v>68</v>
      </c>
      <c r="U202" s="17"/>
      <c r="V202" s="17"/>
      <c r="W202" s="17" t="s">
        <v>46</v>
      </c>
      <c r="X202" s="17" t="s">
        <v>47</v>
      </c>
      <c r="Y202" s="17"/>
      <c r="Z202" s="17"/>
      <c r="AA202" s="19"/>
      <c r="AB202" s="30" t="str">
        <f>IF(AA202="","",AA202+365.25*3)</f>
        <v/>
      </c>
      <c r="AC202" s="38"/>
      <c r="AD202" s="50"/>
      <c r="AE202" s="19"/>
      <c r="AF202" s="19"/>
      <c r="AG202" s="167" t="str">
        <f t="shared" si="35"/>
        <v/>
      </c>
      <c r="AI202"/>
    </row>
    <row r="203" spans="1:35">
      <c r="A203" s="38"/>
      <c r="B203" s="4" t="s">
        <v>1345</v>
      </c>
      <c r="C203" s="4" t="s">
        <v>1346</v>
      </c>
      <c r="D203" s="19">
        <v>25904</v>
      </c>
      <c r="E203" s="46">
        <f t="shared" ca="1" si="36"/>
        <v>55.408624229979466</v>
      </c>
      <c r="F203" s="16"/>
      <c r="G203" s="14"/>
      <c r="H203" s="4"/>
      <c r="I203" s="4"/>
      <c r="J203" s="4"/>
      <c r="K203" s="17"/>
      <c r="L203" s="17"/>
      <c r="M203" s="17"/>
      <c r="N203" s="17"/>
      <c r="O203" s="17"/>
      <c r="P203" s="17"/>
      <c r="Q203" s="4" t="s">
        <v>1347</v>
      </c>
      <c r="R203" s="4" t="s">
        <v>67</v>
      </c>
      <c r="S203" s="4"/>
      <c r="T203" s="4"/>
      <c r="U203" s="17"/>
      <c r="V203" s="17"/>
      <c r="W203" s="17" t="s">
        <v>46</v>
      </c>
      <c r="X203" s="17" t="s">
        <v>47</v>
      </c>
      <c r="Y203" s="17"/>
      <c r="Z203" s="17"/>
      <c r="AA203" s="4"/>
      <c r="AB203" s="30" t="str">
        <f>IF(AA203="","",AA203+365.25*3)</f>
        <v/>
      </c>
      <c r="AC203" s="38"/>
      <c r="AD203" s="19"/>
      <c r="AE203" s="19"/>
      <c r="AF203" s="19"/>
      <c r="AG203" s="167" t="str">
        <f t="shared" si="35"/>
        <v/>
      </c>
      <c r="AI203"/>
    </row>
    <row r="204" spans="1:35">
      <c r="A204" s="38"/>
      <c r="B204" s="4" t="s">
        <v>1348</v>
      </c>
      <c r="C204" s="4" t="s">
        <v>1349</v>
      </c>
      <c r="D204" s="19">
        <v>29370</v>
      </c>
      <c r="E204" s="46">
        <f t="shared" ca="1" si="36"/>
        <v>45.9192334017796</v>
      </c>
      <c r="F204" s="16"/>
      <c r="G204" s="14"/>
      <c r="H204" s="4"/>
      <c r="I204" s="4"/>
      <c r="J204" s="4"/>
      <c r="K204" s="17"/>
      <c r="L204" s="17"/>
      <c r="M204" s="17"/>
      <c r="N204" s="17"/>
      <c r="O204" s="17"/>
      <c r="P204" s="17"/>
      <c r="Q204" s="4" t="s">
        <v>1350</v>
      </c>
      <c r="R204" s="4" t="s">
        <v>67</v>
      </c>
      <c r="S204" s="4"/>
      <c r="T204" s="4"/>
      <c r="U204" s="17"/>
      <c r="V204" s="17"/>
      <c r="W204" s="17" t="s">
        <v>46</v>
      </c>
      <c r="X204" s="17" t="s">
        <v>47</v>
      </c>
      <c r="Y204" s="17"/>
      <c r="Z204" s="17"/>
      <c r="AA204" s="4"/>
      <c r="AB204" s="30" t="str">
        <f>IF(AA204="","",AA204+365.25*3)</f>
        <v/>
      </c>
      <c r="AC204" s="38"/>
      <c r="AD204" s="19"/>
      <c r="AE204" s="19"/>
      <c r="AF204" s="19"/>
      <c r="AG204" s="167" t="str">
        <f t="shared" si="35"/>
        <v/>
      </c>
      <c r="AI204"/>
    </row>
    <row r="205" spans="1:35">
      <c r="A205" s="200"/>
      <c r="B205" s="173" t="s">
        <v>1351</v>
      </c>
      <c r="C205" s="173" t="s">
        <v>1352</v>
      </c>
      <c r="D205" s="170">
        <v>27165</v>
      </c>
      <c r="E205" s="171">
        <f t="shared" ca="1" si="36"/>
        <v>51.956194387405887</v>
      </c>
      <c r="F205" s="153"/>
      <c r="G205" s="172"/>
      <c r="H205" s="173"/>
      <c r="I205" s="173"/>
      <c r="J205" s="173"/>
      <c r="K205" s="174"/>
      <c r="L205" s="174"/>
      <c r="M205" s="174"/>
      <c r="N205" s="174"/>
      <c r="O205" s="174" t="s">
        <v>64</v>
      </c>
      <c r="P205" s="174" t="s">
        <v>65</v>
      </c>
      <c r="Q205" s="173"/>
      <c r="R205" s="173" t="s">
        <v>67</v>
      </c>
      <c r="S205" s="173"/>
      <c r="T205" s="173"/>
      <c r="U205" s="174"/>
      <c r="V205" s="174"/>
      <c r="W205" s="174" t="s">
        <v>46</v>
      </c>
      <c r="X205" s="174" t="s">
        <v>47</v>
      </c>
      <c r="Y205" s="174"/>
      <c r="Z205" s="174"/>
      <c r="AA205" s="170"/>
      <c r="AB205" s="30"/>
      <c r="AC205" s="200"/>
      <c r="AD205" s="200" t="s">
        <v>1353</v>
      </c>
      <c r="AE205" s="160"/>
      <c r="AF205" s="170"/>
      <c r="AG205" s="167">
        <f t="shared" si="35"/>
        <v>730.5</v>
      </c>
      <c r="AI205"/>
    </row>
    <row r="206" spans="1:35">
      <c r="A206" s="132"/>
      <c r="B206" s="108" t="s">
        <v>431</v>
      </c>
      <c r="C206" s="291" t="s">
        <v>1354</v>
      </c>
      <c r="D206" s="109">
        <v>31225</v>
      </c>
      <c r="E206" s="94">
        <f t="shared" ca="1" si="36"/>
        <v>40.840520191649553</v>
      </c>
      <c r="F206" s="293" t="s">
        <v>1355</v>
      </c>
      <c r="G206" s="111">
        <v>77610</v>
      </c>
      <c r="H206" s="108" t="s">
        <v>1356</v>
      </c>
      <c r="I206" s="108"/>
      <c r="J206" s="108"/>
      <c r="K206" s="112" t="s">
        <v>1357</v>
      </c>
      <c r="L206" s="112" t="s">
        <v>158</v>
      </c>
      <c r="M206" s="112" t="s">
        <v>1358</v>
      </c>
      <c r="N206" s="112" t="s">
        <v>339</v>
      </c>
      <c r="O206" s="112" t="s">
        <v>64</v>
      </c>
      <c r="P206" s="292"/>
      <c r="Q206" s="108" t="s">
        <v>121</v>
      </c>
      <c r="R206" s="294" t="s">
        <v>67</v>
      </c>
      <c r="S206" s="108"/>
      <c r="T206" s="295" t="s">
        <v>68</v>
      </c>
      <c r="U206" s="112"/>
      <c r="V206" s="112"/>
      <c r="W206" s="112" t="s">
        <v>46</v>
      </c>
      <c r="X206" s="112" t="s">
        <v>47</v>
      </c>
      <c r="Y206" s="112"/>
      <c r="Z206" s="112"/>
      <c r="AA206" s="108"/>
      <c r="AB206" s="30" t="str">
        <f t="shared" ref="AB206:AB213" si="37">IF(AA206="","",AA206+365.25*3)</f>
        <v/>
      </c>
      <c r="AC206" s="180"/>
      <c r="AD206" s="86"/>
      <c r="AE206" s="109"/>
      <c r="AF206" s="109"/>
      <c r="AG206" s="167" t="str">
        <f t="shared" si="35"/>
        <v/>
      </c>
      <c r="AI206"/>
    </row>
    <row r="207" spans="1:35">
      <c r="A207" s="132"/>
      <c r="B207" s="209" t="s">
        <v>1359</v>
      </c>
      <c r="C207" s="291" t="s">
        <v>1360</v>
      </c>
      <c r="D207" s="109">
        <v>24445</v>
      </c>
      <c r="E207" s="94">
        <f t="shared" ca="1" si="36"/>
        <v>59.403148528405204</v>
      </c>
      <c r="F207" s="293" t="s">
        <v>1361</v>
      </c>
      <c r="G207" s="111">
        <v>63210</v>
      </c>
      <c r="H207" s="108" t="s">
        <v>1362</v>
      </c>
      <c r="I207" s="108"/>
      <c r="J207" s="108"/>
      <c r="K207" s="112" t="s">
        <v>1363</v>
      </c>
      <c r="L207" s="112" t="s">
        <v>298</v>
      </c>
      <c r="M207" s="112" t="s">
        <v>1364</v>
      </c>
      <c r="N207" s="112" t="s">
        <v>1365</v>
      </c>
      <c r="O207" s="112" t="s">
        <v>64</v>
      </c>
      <c r="P207" s="112" t="s">
        <v>65</v>
      </c>
      <c r="Q207" s="108" t="s">
        <v>1366</v>
      </c>
      <c r="R207" s="294" t="s">
        <v>67</v>
      </c>
      <c r="S207" s="108"/>
      <c r="T207" s="295" t="s">
        <v>68</v>
      </c>
      <c r="U207" s="112"/>
      <c r="V207" s="112"/>
      <c r="W207" s="112" t="s">
        <v>46</v>
      </c>
      <c r="X207" s="112" t="s">
        <v>47</v>
      </c>
      <c r="Y207" s="112"/>
      <c r="Z207" s="112"/>
      <c r="AA207" s="108"/>
      <c r="AB207" s="30" t="str">
        <f t="shared" si="37"/>
        <v/>
      </c>
      <c r="AC207" s="180"/>
      <c r="AD207" s="86"/>
      <c r="AE207" s="109"/>
      <c r="AF207" s="109"/>
      <c r="AG207" s="167" t="str">
        <f t="shared" si="35"/>
        <v/>
      </c>
      <c r="AI207"/>
    </row>
    <row r="208" spans="1:35">
      <c r="A208" s="132"/>
      <c r="B208" s="405" t="s">
        <v>1367</v>
      </c>
      <c r="C208" s="291" t="s">
        <v>1368</v>
      </c>
      <c r="D208" s="109">
        <v>36115</v>
      </c>
      <c r="E208" s="94">
        <f t="shared" ca="1" si="36"/>
        <v>27.452429842573579</v>
      </c>
      <c r="F208" s="293"/>
      <c r="G208" s="111"/>
      <c r="H208" s="108"/>
      <c r="I208" s="108"/>
      <c r="J208" s="108"/>
      <c r="K208" s="112"/>
      <c r="L208" s="112"/>
      <c r="M208" s="112"/>
      <c r="N208" s="112"/>
      <c r="O208" s="112"/>
      <c r="P208" s="112"/>
      <c r="Q208" s="108" t="s">
        <v>1369</v>
      </c>
      <c r="R208" s="294" t="s">
        <v>67</v>
      </c>
      <c r="S208" s="108"/>
      <c r="T208" s="291"/>
      <c r="U208" s="112"/>
      <c r="V208" s="112"/>
      <c r="W208" s="112"/>
      <c r="X208" s="112"/>
      <c r="Y208" s="112"/>
      <c r="Z208" s="112"/>
      <c r="AA208" s="108"/>
      <c r="AB208" s="30" t="str">
        <f t="shared" si="37"/>
        <v/>
      </c>
      <c r="AC208" s="180"/>
      <c r="AD208" s="109"/>
      <c r="AE208" s="109"/>
      <c r="AF208" s="109"/>
      <c r="AG208" s="167" t="str">
        <f>IF(AD208="",IF(AE208="","",AF208+365.25*3),AF208+365.25*2)</f>
        <v/>
      </c>
    </row>
    <row r="209" spans="1:35">
      <c r="A209" s="38"/>
      <c r="B209" s="55" t="s">
        <v>1370</v>
      </c>
      <c r="C209" s="4" t="s">
        <v>1371</v>
      </c>
      <c r="D209" s="19">
        <v>35432</v>
      </c>
      <c r="E209" s="46">
        <f t="shared" ca="1" si="36"/>
        <v>29.322381930184804</v>
      </c>
      <c r="F209" s="16"/>
      <c r="G209" s="14"/>
      <c r="H209" s="4"/>
      <c r="I209" s="4"/>
      <c r="J209" s="4"/>
      <c r="K209" s="17"/>
      <c r="L209" s="17"/>
      <c r="M209" s="17"/>
      <c r="N209" s="17"/>
      <c r="O209" s="17"/>
      <c r="P209" s="17"/>
      <c r="Q209" s="4" t="s">
        <v>1372</v>
      </c>
      <c r="R209" s="4" t="s">
        <v>67</v>
      </c>
      <c r="S209" s="4"/>
      <c r="T209" s="4" t="s">
        <v>68</v>
      </c>
      <c r="U209" s="84"/>
      <c r="V209" s="84"/>
      <c r="W209" s="84"/>
      <c r="X209" s="84"/>
      <c r="Y209" s="84"/>
      <c r="Z209" s="84"/>
      <c r="AA209" s="50"/>
      <c r="AB209" s="160" t="str">
        <f t="shared" si="37"/>
        <v/>
      </c>
      <c r="AC209" s="85"/>
      <c r="AD209" s="50"/>
      <c r="AE209" s="50"/>
      <c r="AF209" s="50"/>
      <c r="AG209" s="339" t="str">
        <f>IF(AD209="",IF(AE209="","",AF209+365.25*3),AF209+365.25*2)</f>
        <v/>
      </c>
      <c r="AH209" s="406"/>
      <c r="AI209" s="407"/>
    </row>
    <row r="210" spans="1:35">
      <c r="A210" s="4"/>
      <c r="B210" s="53" t="s">
        <v>1373</v>
      </c>
      <c r="C210" s="4" t="s">
        <v>369</v>
      </c>
      <c r="D210" s="19">
        <v>24073</v>
      </c>
      <c r="E210" s="46">
        <f t="shared" ca="1" si="36"/>
        <v>60.421629021218344</v>
      </c>
      <c r="F210" s="16" t="s">
        <v>1374</v>
      </c>
      <c r="G210" s="14">
        <v>91440</v>
      </c>
      <c r="H210" s="4" t="s">
        <v>1375</v>
      </c>
      <c r="I210" s="4"/>
      <c r="J210" s="4"/>
      <c r="K210" s="17" t="s">
        <v>1376</v>
      </c>
      <c r="L210" s="17" t="s">
        <v>1377</v>
      </c>
      <c r="M210" s="17" t="s">
        <v>1378</v>
      </c>
      <c r="N210" s="17" t="s">
        <v>951</v>
      </c>
      <c r="O210" s="17" t="s">
        <v>64</v>
      </c>
      <c r="P210" s="17" t="s">
        <v>65</v>
      </c>
      <c r="Q210" s="4" t="s">
        <v>264</v>
      </c>
      <c r="R210" s="4" t="s">
        <v>67</v>
      </c>
      <c r="S210" s="4"/>
      <c r="T210" s="53" t="s">
        <v>68</v>
      </c>
      <c r="U210" s="17"/>
      <c r="V210" s="17"/>
      <c r="W210" s="17" t="s">
        <v>46</v>
      </c>
      <c r="X210" s="17" t="s">
        <v>47</v>
      </c>
      <c r="Y210" s="17"/>
      <c r="Z210" s="17"/>
      <c r="AA210" s="19"/>
      <c r="AB210" s="19" t="str">
        <f t="shared" si="37"/>
        <v/>
      </c>
      <c r="AC210" s="38"/>
      <c r="AD210" s="50"/>
      <c r="AE210" s="61"/>
      <c r="AF210" s="19"/>
      <c r="AG210" s="167" t="str">
        <f>IF(AD210="",IF(AE210="","",AF210+365.25*2),AF210+365.25*2)</f>
        <v/>
      </c>
      <c r="AI210"/>
    </row>
    <row r="211" spans="1:35">
      <c r="A211" s="38"/>
      <c r="B211" s="53" t="s">
        <v>1379</v>
      </c>
      <c r="C211" s="4" t="s">
        <v>533</v>
      </c>
      <c r="D211" s="19">
        <v>33138</v>
      </c>
      <c r="E211" s="46">
        <f t="shared" ca="1" si="36"/>
        <v>35.603011635865847</v>
      </c>
      <c r="F211" s="16" t="s">
        <v>1380</v>
      </c>
      <c r="G211" s="14">
        <v>92400</v>
      </c>
      <c r="H211" s="4" t="s">
        <v>1381</v>
      </c>
      <c r="I211" s="4"/>
      <c r="J211" s="4"/>
      <c r="K211" s="17" t="s">
        <v>1382</v>
      </c>
      <c r="L211" s="17" t="s">
        <v>454</v>
      </c>
      <c r="M211" s="17" t="s">
        <v>1383</v>
      </c>
      <c r="N211" s="17" t="s">
        <v>1384</v>
      </c>
      <c r="O211" s="17" t="s">
        <v>64</v>
      </c>
      <c r="P211" s="17" t="s">
        <v>190</v>
      </c>
      <c r="Q211" s="4" t="s">
        <v>1385</v>
      </c>
      <c r="R211" s="4" t="s">
        <v>67</v>
      </c>
      <c r="S211" s="4"/>
      <c r="T211" s="53" t="s">
        <v>68</v>
      </c>
      <c r="U211" s="17"/>
      <c r="V211" s="17"/>
      <c r="W211" s="17" t="s">
        <v>46</v>
      </c>
      <c r="X211" s="17" t="s">
        <v>47</v>
      </c>
      <c r="Y211" s="17"/>
      <c r="Z211" s="17"/>
      <c r="AA211" s="66"/>
      <c r="AB211" s="109" t="str">
        <f t="shared" si="37"/>
        <v/>
      </c>
      <c r="AC211" s="224"/>
      <c r="AD211" s="50"/>
      <c r="AE211" s="19"/>
      <c r="AF211" s="19"/>
      <c r="AG211" s="167" t="str">
        <f>IF(AD211="",IF(AE211="","",AF211+365.25*2),AF211+365.25*2)</f>
        <v/>
      </c>
      <c r="AI211"/>
    </row>
    <row r="212" spans="1:35">
      <c r="A212" s="38"/>
      <c r="B212" s="55" t="s">
        <v>1386</v>
      </c>
      <c r="C212" s="4" t="s">
        <v>1387</v>
      </c>
      <c r="D212" s="19">
        <v>34397</v>
      </c>
      <c r="E212" s="46">
        <f t="shared" ca="1" si="36"/>
        <v>32.156057494866531</v>
      </c>
      <c r="F212" s="16"/>
      <c r="G212" s="14"/>
      <c r="H212" s="4"/>
      <c r="I212" s="4"/>
      <c r="J212" s="4"/>
      <c r="K212" s="17"/>
      <c r="L212" s="17"/>
      <c r="M212" s="17"/>
      <c r="N212" s="17"/>
      <c r="O212" s="17"/>
      <c r="P212" s="17"/>
      <c r="Q212" s="4" t="s">
        <v>1369</v>
      </c>
      <c r="R212" s="4" t="s">
        <v>67</v>
      </c>
      <c r="S212" s="4"/>
      <c r="T212" s="4"/>
      <c r="U212" s="17"/>
      <c r="V212" s="17"/>
      <c r="W212" s="17"/>
      <c r="X212" s="17"/>
      <c r="Y212" s="17"/>
      <c r="Z212" s="17"/>
      <c r="AA212" s="4"/>
      <c r="AB212" s="251" t="str">
        <f t="shared" si="37"/>
        <v/>
      </c>
      <c r="AC212" s="38"/>
      <c r="AD212" s="19"/>
      <c r="AE212" s="19"/>
      <c r="AF212" s="19"/>
      <c r="AG212" s="167" t="str">
        <f>IF(AD212="",IF(AE212="","",AF212+365.25*3),AF212+365.25*2)</f>
        <v/>
      </c>
    </row>
    <row r="213" spans="1:35">
      <c r="A213" s="38"/>
      <c r="B213" s="4" t="s">
        <v>1388</v>
      </c>
      <c r="C213" s="4" t="s">
        <v>1389</v>
      </c>
      <c r="D213" s="19">
        <v>34228</v>
      </c>
      <c r="E213" s="46">
        <f t="shared" ca="1" si="36"/>
        <v>32.618754277891853</v>
      </c>
      <c r="F213" s="16" t="s">
        <v>1390</v>
      </c>
      <c r="G213" s="14">
        <v>91860</v>
      </c>
      <c r="H213" s="4" t="s">
        <v>1391</v>
      </c>
      <c r="I213" s="4"/>
      <c r="J213" s="4"/>
      <c r="K213" s="17" t="s">
        <v>1392</v>
      </c>
      <c r="L213" s="17" t="s">
        <v>1393</v>
      </c>
      <c r="M213" s="17" t="s">
        <v>1394</v>
      </c>
      <c r="N213" s="17" t="s">
        <v>1395</v>
      </c>
      <c r="O213" s="17" t="s">
        <v>99</v>
      </c>
      <c r="P213" s="49" t="s">
        <v>65</v>
      </c>
      <c r="Q213" s="4" t="s">
        <v>1396</v>
      </c>
      <c r="R213" s="4" t="s">
        <v>67</v>
      </c>
      <c r="S213" s="4"/>
      <c r="T213" s="4" t="s">
        <v>68</v>
      </c>
      <c r="U213" s="17"/>
      <c r="V213" s="17"/>
      <c r="W213" s="17" t="s">
        <v>46</v>
      </c>
      <c r="X213" s="17" t="s">
        <v>47</v>
      </c>
      <c r="Y213" s="17"/>
      <c r="Z213" s="17"/>
      <c r="AA213" s="4"/>
      <c r="AB213" s="19" t="str">
        <f t="shared" si="37"/>
        <v/>
      </c>
      <c r="AC213" s="38"/>
      <c r="AD213" s="19"/>
      <c r="AE213" s="19"/>
      <c r="AF213" s="19"/>
      <c r="AG213" s="167" t="str">
        <f>IF(AD213="",IF(AE213="","",AF213+365.25*2),AF213+365.25*2)</f>
        <v/>
      </c>
      <c r="AI213"/>
    </row>
  </sheetData>
  <autoFilter ref="A35:AK141" xr:uid="{F60EC02C-1AC7-4D56-A847-B43F4F77283D}">
    <filterColumn colId="5" showButton="0"/>
    <filterColumn colId="6" showButton="0"/>
    <filterColumn colId="10" showButton="0"/>
    <filterColumn colId="12" showButton="0"/>
    <filterColumn colId="26">
      <filters>
        <dateGroupItem year="2025" dateTimeGrouping="year"/>
        <dateGroupItem year="2024" dateTimeGrouping="year"/>
        <dateGroupItem year="2023" dateTimeGrouping="year"/>
      </filters>
    </filterColumn>
  </autoFilter>
  <sortState xmlns:xlrd2="http://schemas.microsoft.com/office/spreadsheetml/2017/richdata2" ref="A183:AK213">
    <sortCondition ref="B183:B213"/>
  </sortState>
  <mergeCells count="13">
    <mergeCell ref="A1:AG1"/>
    <mergeCell ref="F8:H8"/>
    <mergeCell ref="K8:L8"/>
    <mergeCell ref="M8:N8"/>
    <mergeCell ref="U7:Z7"/>
    <mergeCell ref="F144:H144"/>
    <mergeCell ref="K144:L144"/>
    <mergeCell ref="M144:N144"/>
    <mergeCell ref="U34:Z34"/>
    <mergeCell ref="F35:H35"/>
    <mergeCell ref="K35:L35"/>
    <mergeCell ref="M35:N35"/>
    <mergeCell ref="A143:AH143"/>
  </mergeCells>
  <phoneticPr fontId="6" type="noConversion"/>
  <conditionalFormatting sqref="AB36:AB50 AG36:AG139 AB52:AB90 AB92:AB139 AB145:AB147 AG145:AG147 AB149 AG149 AB151 AG151:AG153 AB153:AB156 AG155:AG157 AB158:AB171 AG159:AG166 AG168:AG170 AG172:AG177 AB174:AB177">
    <cfRule type="cellIs" dxfId="3" priority="2" operator="lessThan">
      <formula>$C$2+90</formula>
    </cfRule>
  </conditionalFormatting>
  <hyperlinks>
    <hyperlink ref="B40" r:id="rId1" xr:uid="{B1E1E925-918F-46D6-8B53-B0D869C91A9B}"/>
    <hyperlink ref="B4" r:id="rId2" xr:uid="{F806442D-CB8E-4D57-B290-A543346B2D21}"/>
    <hyperlink ref="B32" r:id="rId3" xr:uid="{4269AB01-FFD4-47EB-85FA-15510AAA659E}"/>
    <hyperlink ref="I132" r:id="rId4" xr:uid="{3DCE64D2-8808-467A-A3CF-F2740949F147}"/>
    <hyperlink ref="I73" r:id="rId5" xr:uid="{D0E1C844-D968-42DB-9947-BE937F1FC71F}"/>
    <hyperlink ref="I105" r:id="rId6" xr:uid="{09E53E91-0B0D-41A8-86CC-7216BA83E2B4}"/>
    <hyperlink ref="I18" r:id="rId7" xr:uid="{B2FA78AB-5321-4DF1-9C6A-820325CB3C67}"/>
    <hyperlink ref="I10" r:id="rId8" xr:uid="{F92299C7-C98F-47A3-B64B-064F7CDB396C}"/>
    <hyperlink ref="I16" r:id="rId9" xr:uid="{091503EC-CBA2-4EC8-8E23-440E3E5548E8}"/>
    <hyperlink ref="I13" r:id="rId10" xr:uid="{67A1D9BD-6E3B-466D-95C8-537E5EAA86E2}"/>
    <hyperlink ref="I17" r:id="rId11" xr:uid="{2280FAD2-DEBD-4186-8C5F-5BD61D5A6BEC}"/>
    <hyperlink ref="I11" r:id="rId12" xr:uid="{87499091-1D8D-4138-91E0-203BBB3FA53B}"/>
    <hyperlink ref="I15" r:id="rId13" xr:uid="{86F06C5D-4007-45F2-8BEA-00DEBC0E1A6C}"/>
    <hyperlink ref="I19" r:id="rId14" xr:uid="{706F320F-A2DE-4429-A1D7-BC1F49275258}"/>
  </hyperlinks>
  <pageMargins left="0.7" right="0.7" top="0.75" bottom="0.75" header="0.3" footer="0.3"/>
  <pageSetup paperSize="8" scale="58" orientation="landscape" r:id="rId1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806E4-C4B4-4D45-BA22-3F59D42856B9}">
  <sheetPr>
    <pageSetUpPr fitToPage="1"/>
  </sheetPr>
  <dimension ref="A1:Y67"/>
  <sheetViews>
    <sheetView workbookViewId="0">
      <selection activeCell="V9" sqref="V9"/>
    </sheetView>
  </sheetViews>
  <sheetFormatPr defaultColWidth="11.42578125" defaultRowHeight="15"/>
  <cols>
    <col min="1" max="1" width="8.140625" customWidth="1"/>
    <col min="2" max="2" width="22.28515625" customWidth="1"/>
    <col min="3" max="3" width="15.7109375" customWidth="1"/>
    <col min="4" max="4" width="6.7109375" bestFit="1" customWidth="1"/>
    <col min="5" max="6" width="12" style="43" customWidth="1"/>
    <col min="7" max="7" width="11.42578125" style="43" bestFit="1" customWidth="1"/>
    <col min="8" max="8" width="19.42578125" customWidth="1"/>
    <col min="9" max="9" width="19.42578125" style="43" customWidth="1"/>
    <col min="10" max="10" width="16.28515625" customWidth="1"/>
    <col min="11" max="11" width="14.5703125" bestFit="1" customWidth="1"/>
  </cols>
  <sheetData>
    <row r="1" spans="1:25" ht="18.75">
      <c r="A1" s="435" t="s">
        <v>1397</v>
      </c>
      <c r="B1" s="435"/>
      <c r="C1" s="435"/>
      <c r="D1" s="435"/>
      <c r="E1" s="435"/>
      <c r="F1" s="435"/>
      <c r="G1" s="435"/>
      <c r="H1" s="435"/>
      <c r="I1" s="435"/>
    </row>
    <row r="2" spans="1:25" ht="23.1" customHeight="1">
      <c r="B2" t="e" vm="1">
        <v>#VALUE!</v>
      </c>
    </row>
    <row r="3" spans="1:25">
      <c r="A3" s="6" t="s">
        <v>17</v>
      </c>
      <c r="B3" s="6" t="s">
        <v>18</v>
      </c>
      <c r="C3" s="43">
        <f ca="1">TODAY()</f>
        <v>46142</v>
      </c>
    </row>
    <row r="4" spans="1:25" ht="15.75" thickBot="1"/>
    <row r="5" spans="1:25">
      <c r="A5" s="1" t="s">
        <v>1398</v>
      </c>
      <c r="B5" s="2" t="s">
        <v>29</v>
      </c>
      <c r="C5" s="2" t="s">
        <v>30</v>
      </c>
      <c r="D5" s="2" t="s">
        <v>1399</v>
      </c>
      <c r="E5" s="176" t="s">
        <v>1400</v>
      </c>
      <c r="F5" s="176" t="s">
        <v>1401</v>
      </c>
      <c r="G5" s="47" t="s">
        <v>1402</v>
      </c>
      <c r="H5" s="48" t="s">
        <v>52</v>
      </c>
      <c r="I5" s="329" t="s">
        <v>1403</v>
      </c>
      <c r="J5" s="333" t="s">
        <v>1404</v>
      </c>
      <c r="K5" s="334" t="s">
        <v>1405</v>
      </c>
      <c r="P5" s="455" t="s">
        <v>1406</v>
      </c>
      <c r="Q5" s="456"/>
      <c r="R5" s="456"/>
      <c r="S5" s="456"/>
      <c r="T5" s="456"/>
      <c r="U5" s="456"/>
      <c r="V5" s="456"/>
      <c r="W5" s="456"/>
      <c r="X5" s="457"/>
    </row>
    <row r="6" spans="1:25">
      <c r="A6" s="4"/>
      <c r="B6" s="33" t="s">
        <v>239</v>
      </c>
      <c r="C6" s="33" t="s">
        <v>240</v>
      </c>
      <c r="D6" s="33" t="s">
        <v>64</v>
      </c>
      <c r="E6" s="107">
        <v>45454</v>
      </c>
      <c r="F6" s="107">
        <v>45454</v>
      </c>
      <c r="G6" s="107">
        <v>45454</v>
      </c>
      <c r="H6" s="33" t="s">
        <v>1407</v>
      </c>
      <c r="I6" s="297">
        <v>46184</v>
      </c>
      <c r="J6" s="108"/>
      <c r="K6" s="108"/>
      <c r="P6" s="431"/>
      <c r="Q6" s="73" t="s">
        <v>1014</v>
      </c>
      <c r="R6" s="73" t="s">
        <v>1015</v>
      </c>
      <c r="S6" s="73" t="s">
        <v>64</v>
      </c>
      <c r="T6" s="74">
        <v>45449</v>
      </c>
      <c r="U6" s="74">
        <v>45449</v>
      </c>
      <c r="V6" s="74">
        <v>45449</v>
      </c>
      <c r="W6" s="73" t="s">
        <v>1408</v>
      </c>
      <c r="X6" s="104">
        <v>46179</v>
      </c>
    </row>
    <row r="7" spans="1:25">
      <c r="A7" s="4"/>
      <c r="B7" s="53" t="s">
        <v>457</v>
      </c>
      <c r="C7" s="33" t="s">
        <v>1409</v>
      </c>
      <c r="D7" s="33" t="s">
        <v>64</v>
      </c>
      <c r="E7" s="107">
        <v>45478</v>
      </c>
      <c r="F7" s="107">
        <v>45478</v>
      </c>
      <c r="G7" s="107">
        <v>45478</v>
      </c>
      <c r="H7" s="33" t="s">
        <v>1410</v>
      </c>
      <c r="I7" s="297">
        <v>46208</v>
      </c>
      <c r="J7" s="108" t="s">
        <v>1013</v>
      </c>
      <c r="K7" s="109"/>
      <c r="P7" s="4"/>
      <c r="Q7" s="73" t="s">
        <v>1039</v>
      </c>
      <c r="R7" s="73" t="s">
        <v>286</v>
      </c>
      <c r="S7" s="73" t="s">
        <v>64</v>
      </c>
      <c r="T7" s="74"/>
      <c r="U7" s="74"/>
      <c r="V7" s="74">
        <v>45303</v>
      </c>
      <c r="W7" s="73" t="s">
        <v>1411</v>
      </c>
      <c r="X7" s="74">
        <f>V7+365.25*2</f>
        <v>46033.5</v>
      </c>
    </row>
    <row r="8" spans="1:25">
      <c r="A8" s="4"/>
      <c r="B8" s="53" t="s">
        <v>102</v>
      </c>
      <c r="C8" s="33" t="s">
        <v>465</v>
      </c>
      <c r="D8" s="33" t="s">
        <v>64</v>
      </c>
      <c r="E8" s="107">
        <v>45468</v>
      </c>
      <c r="F8" s="107">
        <v>45478</v>
      </c>
      <c r="G8" s="107">
        <v>45478</v>
      </c>
      <c r="H8" s="33" t="s">
        <v>1412</v>
      </c>
      <c r="I8" s="297">
        <v>46208</v>
      </c>
      <c r="J8" s="108" t="s">
        <v>1013</v>
      </c>
      <c r="K8" s="108"/>
      <c r="P8" s="4"/>
      <c r="Q8" s="73" t="s">
        <v>1046</v>
      </c>
      <c r="R8" s="73" t="s">
        <v>1047</v>
      </c>
      <c r="S8" s="73" t="s">
        <v>64</v>
      </c>
      <c r="T8" s="74">
        <v>45337</v>
      </c>
      <c r="U8" s="74">
        <v>45337</v>
      </c>
      <c r="V8" s="74">
        <v>45342</v>
      </c>
      <c r="W8" s="73" t="s">
        <v>1413</v>
      </c>
      <c r="X8" s="74">
        <v>46068</v>
      </c>
    </row>
    <row r="9" spans="1:25">
      <c r="A9" s="4"/>
      <c r="B9" s="33" t="s">
        <v>582</v>
      </c>
      <c r="C9" s="33" t="s">
        <v>583</v>
      </c>
      <c r="D9" s="33" t="s">
        <v>64</v>
      </c>
      <c r="E9" s="107">
        <v>45462</v>
      </c>
      <c r="F9" s="166">
        <v>45478</v>
      </c>
      <c r="G9" s="107">
        <v>45496</v>
      </c>
      <c r="H9" s="33" t="s">
        <v>1414</v>
      </c>
      <c r="I9" s="297">
        <v>46208</v>
      </c>
      <c r="J9" s="108"/>
      <c r="K9" s="108"/>
      <c r="P9" s="4"/>
      <c r="Q9" s="73" t="s">
        <v>1116</v>
      </c>
      <c r="R9" s="73" t="s">
        <v>1117</v>
      </c>
      <c r="S9" s="73" t="s">
        <v>64</v>
      </c>
      <c r="T9" s="74">
        <v>45699</v>
      </c>
      <c r="U9" s="74">
        <v>45699</v>
      </c>
      <c r="V9" s="74">
        <v>45699</v>
      </c>
      <c r="W9" s="73" t="s">
        <v>1415</v>
      </c>
      <c r="X9" s="74">
        <v>46429</v>
      </c>
    </row>
    <row r="10" spans="1:25">
      <c r="A10" s="4"/>
      <c r="B10" s="33" t="s">
        <v>1416</v>
      </c>
      <c r="C10" s="33" t="s">
        <v>613</v>
      </c>
      <c r="D10" s="33" t="s">
        <v>64</v>
      </c>
      <c r="E10" s="107">
        <v>45475</v>
      </c>
      <c r="F10" s="107">
        <v>45478</v>
      </c>
      <c r="G10" s="107">
        <v>45478</v>
      </c>
      <c r="H10" s="33" t="s">
        <v>1417</v>
      </c>
      <c r="I10" s="297">
        <v>46208</v>
      </c>
      <c r="J10" s="108"/>
      <c r="K10" s="108"/>
      <c r="P10" s="4"/>
      <c r="Q10" s="73" t="s">
        <v>657</v>
      </c>
      <c r="R10" s="73" t="s">
        <v>613</v>
      </c>
      <c r="S10" s="73" t="s">
        <v>64</v>
      </c>
      <c r="T10" s="74">
        <v>45351</v>
      </c>
      <c r="U10" s="74">
        <v>45351</v>
      </c>
      <c r="V10" s="74">
        <v>45356</v>
      </c>
      <c r="W10" s="73" t="s">
        <v>1418</v>
      </c>
      <c r="X10" s="297">
        <v>46081</v>
      </c>
      <c r="Y10" t="s">
        <v>1419</v>
      </c>
    </row>
    <row r="11" spans="1:25">
      <c r="A11" s="4"/>
      <c r="B11" s="33" t="s">
        <v>952</v>
      </c>
      <c r="C11" s="33" t="s">
        <v>286</v>
      </c>
      <c r="D11" s="33" t="s">
        <v>64</v>
      </c>
      <c r="E11" s="107">
        <v>45475</v>
      </c>
      <c r="F11" s="107">
        <v>45478</v>
      </c>
      <c r="G11" s="107">
        <v>45478</v>
      </c>
      <c r="H11" s="33" t="s">
        <v>1420</v>
      </c>
      <c r="I11" s="297">
        <v>46208</v>
      </c>
      <c r="J11" s="108"/>
      <c r="K11" s="108"/>
      <c r="P11" s="4"/>
      <c r="Q11" s="73" t="s">
        <v>1132</v>
      </c>
      <c r="R11" s="73" t="s">
        <v>1421</v>
      </c>
      <c r="S11" s="73" t="s">
        <v>64</v>
      </c>
      <c r="T11" s="74">
        <v>45558</v>
      </c>
      <c r="U11" s="141">
        <v>45558</v>
      </c>
      <c r="V11" s="74">
        <v>45558</v>
      </c>
      <c r="W11" s="73" t="s">
        <v>1422</v>
      </c>
      <c r="X11" s="104">
        <v>46288</v>
      </c>
    </row>
    <row r="12" spans="1:25">
      <c r="A12" s="4"/>
      <c r="B12" s="33" t="s">
        <v>209</v>
      </c>
      <c r="C12" s="33" t="s">
        <v>210</v>
      </c>
      <c r="D12" s="33" t="s">
        <v>64</v>
      </c>
      <c r="E12" s="107">
        <v>45482</v>
      </c>
      <c r="F12" s="107">
        <v>45482</v>
      </c>
      <c r="G12" s="107">
        <v>45482</v>
      </c>
      <c r="H12" s="33" t="s">
        <v>1423</v>
      </c>
      <c r="I12" s="297">
        <v>46212</v>
      </c>
      <c r="J12" s="108"/>
      <c r="K12" s="108"/>
      <c r="P12" s="4"/>
      <c r="Q12" s="73" t="s">
        <v>1147</v>
      </c>
      <c r="R12" s="73" t="s">
        <v>1148</v>
      </c>
      <c r="S12" s="73" t="s">
        <v>64</v>
      </c>
      <c r="T12" s="74"/>
      <c r="U12" s="74"/>
      <c r="V12" s="74">
        <v>45414</v>
      </c>
      <c r="W12" s="73" t="s">
        <v>1424</v>
      </c>
      <c r="X12" s="74">
        <v>46137</v>
      </c>
    </row>
    <row r="13" spans="1:25">
      <c r="A13" s="4"/>
      <c r="B13" s="33" t="s">
        <v>710</v>
      </c>
      <c r="C13" s="33" t="s">
        <v>711</v>
      </c>
      <c r="D13" s="33" t="s">
        <v>64</v>
      </c>
      <c r="E13" s="107">
        <v>45482</v>
      </c>
      <c r="F13" s="107">
        <v>45482</v>
      </c>
      <c r="G13" s="107">
        <v>45482</v>
      </c>
      <c r="H13" s="33" t="s">
        <v>1425</v>
      </c>
      <c r="I13" s="297">
        <v>46212</v>
      </c>
      <c r="J13" s="108"/>
      <c r="K13" s="108"/>
      <c r="P13" s="4"/>
      <c r="Q13" s="73" t="s">
        <v>1162</v>
      </c>
      <c r="R13" s="73" t="s">
        <v>1426</v>
      </c>
      <c r="S13" s="73" t="s">
        <v>64</v>
      </c>
      <c r="T13" s="74">
        <v>45538</v>
      </c>
      <c r="U13" s="235">
        <v>45574</v>
      </c>
      <c r="V13" s="74">
        <v>45574</v>
      </c>
      <c r="W13" s="73" t="s">
        <v>1427</v>
      </c>
      <c r="X13" s="74">
        <v>46304</v>
      </c>
    </row>
    <row r="14" spans="1:25">
      <c r="A14" s="4"/>
      <c r="B14" s="33" t="s">
        <v>1428</v>
      </c>
      <c r="C14" s="33" t="s">
        <v>847</v>
      </c>
      <c r="D14" s="33" t="s">
        <v>64</v>
      </c>
      <c r="E14" s="107">
        <v>45489</v>
      </c>
      <c r="F14" s="107">
        <v>45489</v>
      </c>
      <c r="G14" s="107">
        <v>45496</v>
      </c>
      <c r="H14" s="33" t="s">
        <v>1429</v>
      </c>
      <c r="I14" s="297">
        <v>46219</v>
      </c>
      <c r="J14" s="108"/>
      <c r="K14" s="108"/>
      <c r="P14" s="4"/>
      <c r="Q14" s="73" t="s">
        <v>1177</v>
      </c>
      <c r="R14" s="73" t="s">
        <v>1430</v>
      </c>
      <c r="S14" s="73" t="s">
        <v>64</v>
      </c>
      <c r="T14" s="74">
        <v>45372</v>
      </c>
      <c r="U14" s="74">
        <v>45372</v>
      </c>
      <c r="V14" s="74">
        <v>45377</v>
      </c>
      <c r="W14" s="73" t="s">
        <v>1431</v>
      </c>
      <c r="X14" s="74">
        <v>46102</v>
      </c>
    </row>
    <row r="15" spans="1:25">
      <c r="A15" s="4"/>
      <c r="B15" s="53" t="s">
        <v>597</v>
      </c>
      <c r="C15" s="33" t="s">
        <v>294</v>
      </c>
      <c r="D15" s="33" t="s">
        <v>64</v>
      </c>
      <c r="E15" s="107">
        <v>45531</v>
      </c>
      <c r="F15" s="166">
        <v>45531</v>
      </c>
      <c r="G15" s="107">
        <v>45531</v>
      </c>
      <c r="H15" s="33" t="s">
        <v>1432</v>
      </c>
      <c r="I15" s="297">
        <v>46261</v>
      </c>
      <c r="J15" s="108" t="s">
        <v>1013</v>
      </c>
      <c r="K15" s="108"/>
      <c r="P15" s="4"/>
      <c r="Q15" s="73" t="s">
        <v>1208</v>
      </c>
      <c r="R15" s="73" t="s">
        <v>1209</v>
      </c>
      <c r="S15" s="73" t="s">
        <v>64</v>
      </c>
      <c r="T15" s="74"/>
      <c r="U15" s="74"/>
      <c r="V15" s="74">
        <v>45454</v>
      </c>
      <c r="W15" s="157" t="s">
        <v>1433</v>
      </c>
      <c r="X15" s="158">
        <v>46184</v>
      </c>
    </row>
    <row r="16" spans="1:25">
      <c r="A16" s="4"/>
      <c r="B16" s="33" t="s">
        <v>310</v>
      </c>
      <c r="C16" s="33" t="s">
        <v>76</v>
      </c>
      <c r="D16" s="33" t="s">
        <v>64</v>
      </c>
      <c r="E16" s="107">
        <v>45531</v>
      </c>
      <c r="F16" s="166">
        <v>45541</v>
      </c>
      <c r="G16" s="107">
        <v>45541</v>
      </c>
      <c r="H16" s="33" t="s">
        <v>1434</v>
      </c>
      <c r="I16" s="297">
        <v>46271</v>
      </c>
      <c r="J16" s="108"/>
      <c r="K16" s="108"/>
      <c r="P16" s="4"/>
      <c r="Q16" s="73" t="s">
        <v>1203</v>
      </c>
      <c r="R16" s="73" t="s">
        <v>825</v>
      </c>
      <c r="S16" s="73" t="s">
        <v>64</v>
      </c>
      <c r="T16" s="74">
        <v>45337</v>
      </c>
      <c r="U16" s="74">
        <v>45337</v>
      </c>
      <c r="V16" s="104">
        <v>45342</v>
      </c>
      <c r="W16" s="103" t="s">
        <v>1435</v>
      </c>
      <c r="X16" s="100">
        <v>46068</v>
      </c>
    </row>
    <row r="17" spans="1:24">
      <c r="A17" s="4"/>
      <c r="B17" s="33" t="s">
        <v>768</v>
      </c>
      <c r="C17" s="33" t="s">
        <v>223</v>
      </c>
      <c r="D17" s="33" t="s">
        <v>64</v>
      </c>
      <c r="E17" s="107">
        <v>45572</v>
      </c>
      <c r="F17" s="107">
        <v>45572</v>
      </c>
      <c r="G17" s="107">
        <v>45572</v>
      </c>
      <c r="H17" s="33" t="s">
        <v>1436</v>
      </c>
      <c r="I17" s="297">
        <v>46302</v>
      </c>
      <c r="J17" s="108"/>
      <c r="K17" s="108"/>
      <c r="P17" s="4"/>
      <c r="Q17" s="4"/>
      <c r="R17" s="4"/>
      <c r="S17" s="4"/>
      <c r="T17" s="19"/>
      <c r="U17" s="19"/>
      <c r="V17" s="19"/>
      <c r="W17" s="9"/>
      <c r="X17" s="30"/>
    </row>
    <row r="18" spans="1:24">
      <c r="A18" s="4"/>
      <c r="B18" s="33" t="s">
        <v>773</v>
      </c>
      <c r="C18" s="33" t="s">
        <v>319</v>
      </c>
      <c r="D18" s="33" t="s">
        <v>64</v>
      </c>
      <c r="E18" s="107">
        <v>45572</v>
      </c>
      <c r="F18" s="107">
        <v>45572</v>
      </c>
      <c r="G18" s="107">
        <v>45572</v>
      </c>
      <c r="H18" s="33" t="s">
        <v>1437</v>
      </c>
      <c r="I18" s="297">
        <v>46302</v>
      </c>
      <c r="J18" s="108"/>
      <c r="K18" s="108"/>
      <c r="P18" s="4"/>
      <c r="Q18" s="4"/>
      <c r="R18" s="4"/>
      <c r="S18" s="4"/>
      <c r="T18" s="19"/>
      <c r="U18" s="19"/>
      <c r="V18" s="19"/>
      <c r="W18" s="4"/>
      <c r="X18" s="19"/>
    </row>
    <row r="19" spans="1:24">
      <c r="A19" s="4"/>
      <c r="B19" s="33" t="s">
        <v>201</v>
      </c>
      <c r="C19" s="33" t="s">
        <v>138</v>
      </c>
      <c r="D19" s="33" t="s">
        <v>64</v>
      </c>
      <c r="E19" s="107">
        <v>45573</v>
      </c>
      <c r="F19" s="107">
        <v>45573</v>
      </c>
      <c r="G19" s="107">
        <v>45573</v>
      </c>
      <c r="H19" s="33" t="s">
        <v>1438</v>
      </c>
      <c r="I19" s="297">
        <v>46303</v>
      </c>
      <c r="J19" s="108"/>
      <c r="K19" s="108"/>
      <c r="P19" s="4"/>
      <c r="Q19" s="4"/>
      <c r="R19" s="4"/>
      <c r="S19" s="4"/>
      <c r="T19" s="19"/>
      <c r="U19" s="19"/>
      <c r="V19" s="19"/>
      <c r="W19" s="4"/>
      <c r="X19" s="19"/>
    </row>
    <row r="20" spans="1:24">
      <c r="A20" s="4"/>
      <c r="B20" s="33" t="s">
        <v>435</v>
      </c>
      <c r="C20" s="33" t="s">
        <v>436</v>
      </c>
      <c r="D20" s="33" t="s">
        <v>64</v>
      </c>
      <c r="E20" s="107">
        <v>45573</v>
      </c>
      <c r="F20" s="107">
        <v>45573</v>
      </c>
      <c r="G20" s="107">
        <v>45573</v>
      </c>
      <c r="H20" s="33" t="s">
        <v>1439</v>
      </c>
      <c r="I20" s="297">
        <v>46303</v>
      </c>
      <c r="J20" s="108"/>
      <c r="K20" s="108"/>
      <c r="P20" s="4"/>
    </row>
    <row r="21" spans="1:24">
      <c r="A21" s="4"/>
      <c r="B21" s="53" t="s">
        <v>944</v>
      </c>
      <c r="C21" s="33" t="s">
        <v>945</v>
      </c>
      <c r="D21" s="33" t="s">
        <v>64</v>
      </c>
      <c r="E21" s="107">
        <v>45573</v>
      </c>
      <c r="F21" s="107">
        <v>45573</v>
      </c>
      <c r="G21" s="107">
        <v>45573</v>
      </c>
      <c r="H21" s="33" t="s">
        <v>1440</v>
      </c>
      <c r="I21" s="297">
        <v>46303</v>
      </c>
      <c r="J21" s="108" t="s">
        <v>1013</v>
      </c>
      <c r="K21" s="108"/>
      <c r="P21" s="4"/>
    </row>
    <row r="22" spans="1:24">
      <c r="A22" s="4"/>
      <c r="B22" s="53" t="s">
        <v>820</v>
      </c>
      <c r="C22" s="33" t="s">
        <v>821</v>
      </c>
      <c r="D22" s="33" t="s">
        <v>64</v>
      </c>
      <c r="E22" s="107">
        <v>45573</v>
      </c>
      <c r="F22" s="107">
        <v>45574</v>
      </c>
      <c r="G22" s="107">
        <v>45574</v>
      </c>
      <c r="H22" s="33" t="s">
        <v>1441</v>
      </c>
      <c r="I22" s="297">
        <v>46304</v>
      </c>
      <c r="J22" s="108" t="s">
        <v>1013</v>
      </c>
      <c r="K22" s="108"/>
      <c r="P22" s="4"/>
    </row>
    <row r="23" spans="1:24">
      <c r="A23" s="4"/>
      <c r="B23" s="33" t="s">
        <v>627</v>
      </c>
      <c r="C23" s="33" t="s">
        <v>628</v>
      </c>
      <c r="D23" s="33" t="s">
        <v>64</v>
      </c>
      <c r="E23" s="107">
        <v>45575</v>
      </c>
      <c r="F23" s="107">
        <v>45575</v>
      </c>
      <c r="G23" s="107">
        <v>45575</v>
      </c>
      <c r="H23" s="33" t="s">
        <v>1442</v>
      </c>
      <c r="I23" s="297">
        <v>46305</v>
      </c>
      <c r="J23" s="108"/>
      <c r="K23" s="108"/>
    </row>
    <row r="24" spans="1:24">
      <c r="A24" s="4"/>
      <c r="B24" s="33" t="s">
        <v>702</v>
      </c>
      <c r="C24" s="33" t="s">
        <v>1443</v>
      </c>
      <c r="D24" s="33" t="s">
        <v>64</v>
      </c>
      <c r="E24" s="107">
        <v>45582</v>
      </c>
      <c r="F24" s="107">
        <v>45582</v>
      </c>
      <c r="G24" s="107">
        <v>45582</v>
      </c>
      <c r="H24" s="33" t="s">
        <v>1444</v>
      </c>
      <c r="I24" s="297">
        <v>46312</v>
      </c>
      <c r="J24" s="108"/>
      <c r="K24" s="108"/>
    </row>
    <row r="25" spans="1:24">
      <c r="A25" s="4"/>
      <c r="B25" s="33" t="s">
        <v>247</v>
      </c>
      <c r="C25" s="33" t="s">
        <v>248</v>
      </c>
      <c r="D25" s="33" t="s">
        <v>64</v>
      </c>
      <c r="E25" s="107">
        <v>45587</v>
      </c>
      <c r="F25" s="107">
        <v>45587</v>
      </c>
      <c r="G25" s="107">
        <v>45587</v>
      </c>
      <c r="H25" s="33" t="s">
        <v>1445</v>
      </c>
      <c r="I25" s="297">
        <v>46317</v>
      </c>
      <c r="J25" s="108"/>
      <c r="K25" s="108"/>
    </row>
    <row r="26" spans="1:24">
      <c r="A26" s="4"/>
      <c r="B26" s="33" t="s">
        <v>325</v>
      </c>
      <c r="C26" s="33" t="s">
        <v>326</v>
      </c>
      <c r="D26" s="33" t="s">
        <v>64</v>
      </c>
      <c r="E26" s="107">
        <v>45589</v>
      </c>
      <c r="F26" s="107">
        <v>45589</v>
      </c>
      <c r="G26" s="107">
        <v>45589</v>
      </c>
      <c r="H26" s="33" t="s">
        <v>1446</v>
      </c>
      <c r="I26" s="297">
        <v>46319</v>
      </c>
      <c r="J26" s="108"/>
      <c r="K26" s="108"/>
    </row>
    <row r="27" spans="1:24">
      <c r="A27" s="4"/>
      <c r="B27" s="33" t="s">
        <v>891</v>
      </c>
      <c r="C27" s="33" t="s">
        <v>1447</v>
      </c>
      <c r="D27" s="33" t="s">
        <v>64</v>
      </c>
      <c r="E27" s="107">
        <v>45589</v>
      </c>
      <c r="F27" s="107">
        <v>45589</v>
      </c>
      <c r="G27" s="107">
        <v>45589</v>
      </c>
      <c r="H27" s="33" t="s">
        <v>1448</v>
      </c>
      <c r="I27" s="297">
        <v>46319</v>
      </c>
      <c r="J27" s="108"/>
      <c r="K27" s="108"/>
    </row>
    <row r="28" spans="1:24">
      <c r="A28" s="4"/>
      <c r="B28" s="33" t="s">
        <v>333</v>
      </c>
      <c r="C28" s="33" t="s">
        <v>334</v>
      </c>
      <c r="D28" s="33" t="s">
        <v>64</v>
      </c>
      <c r="E28" s="107">
        <v>45594</v>
      </c>
      <c r="F28" s="107">
        <v>45595</v>
      </c>
      <c r="G28" s="107">
        <v>45595</v>
      </c>
      <c r="H28" s="33" t="s">
        <v>1449</v>
      </c>
      <c r="I28" s="297">
        <v>46325</v>
      </c>
      <c r="J28" s="108"/>
      <c r="K28" s="108"/>
    </row>
    <row r="29" spans="1:24">
      <c r="A29" s="4"/>
      <c r="B29" s="33" t="s">
        <v>830</v>
      </c>
      <c r="C29" s="33" t="s">
        <v>831</v>
      </c>
      <c r="D29" s="33" t="s">
        <v>64</v>
      </c>
      <c r="E29" s="107">
        <v>45594</v>
      </c>
      <c r="F29" s="107">
        <v>45595</v>
      </c>
      <c r="G29" s="107">
        <v>45595</v>
      </c>
      <c r="H29" s="33" t="s">
        <v>1450</v>
      </c>
      <c r="I29" s="297">
        <v>46325</v>
      </c>
      <c r="J29" s="108"/>
      <c r="K29" s="108"/>
    </row>
    <row r="30" spans="1:24">
      <c r="A30" s="4"/>
      <c r="B30" s="33" t="s">
        <v>1451</v>
      </c>
      <c r="C30" s="33" t="s">
        <v>364</v>
      </c>
      <c r="D30" s="33" t="s">
        <v>64</v>
      </c>
      <c r="E30" s="107">
        <v>45608</v>
      </c>
      <c r="F30" s="107">
        <v>45608</v>
      </c>
      <c r="G30" s="107">
        <v>45608</v>
      </c>
      <c r="H30" s="107" t="s">
        <v>1452</v>
      </c>
      <c r="I30" s="297">
        <v>46338</v>
      </c>
      <c r="J30" s="108"/>
      <c r="K30" s="108"/>
    </row>
    <row r="31" spans="1:24">
      <c r="A31" s="4"/>
      <c r="B31" s="33" t="s">
        <v>800</v>
      </c>
      <c r="C31" s="33" t="s">
        <v>355</v>
      </c>
      <c r="D31" s="33" t="s">
        <v>64</v>
      </c>
      <c r="E31" s="107">
        <v>45610</v>
      </c>
      <c r="F31" s="107">
        <v>45610</v>
      </c>
      <c r="G31" s="107">
        <v>45608</v>
      </c>
      <c r="H31" s="107" t="s">
        <v>1453</v>
      </c>
      <c r="I31" s="297">
        <v>46338</v>
      </c>
      <c r="J31" s="108"/>
      <c r="K31" s="108"/>
    </row>
    <row r="32" spans="1:24">
      <c r="A32" s="4"/>
      <c r="B32" s="53" t="s">
        <v>1454</v>
      </c>
      <c r="C32" s="33" t="s">
        <v>565</v>
      </c>
      <c r="D32" s="33" t="s">
        <v>64</v>
      </c>
      <c r="E32" s="107">
        <v>45608</v>
      </c>
      <c r="F32" s="107">
        <v>45608</v>
      </c>
      <c r="G32" s="107">
        <v>45610</v>
      </c>
      <c r="H32" s="107" t="s">
        <v>1455</v>
      </c>
      <c r="I32" s="297">
        <v>46340</v>
      </c>
      <c r="J32" s="108" t="s">
        <v>1013</v>
      </c>
      <c r="K32" s="108"/>
    </row>
    <row r="33" spans="1:11">
      <c r="A33" s="4"/>
      <c r="B33" s="33" t="s">
        <v>394</v>
      </c>
      <c r="C33" s="33" t="s">
        <v>314</v>
      </c>
      <c r="D33" s="33" t="s">
        <v>64</v>
      </c>
      <c r="E33" s="107">
        <v>45685</v>
      </c>
      <c r="F33" s="107">
        <v>45685</v>
      </c>
      <c r="G33" s="107">
        <v>45685</v>
      </c>
      <c r="H33" s="33" t="s">
        <v>1456</v>
      </c>
      <c r="I33" s="297">
        <v>46415</v>
      </c>
      <c r="J33" s="108"/>
      <c r="K33" s="108"/>
    </row>
    <row r="34" spans="1:11">
      <c r="A34" s="4"/>
      <c r="B34" s="53" t="s">
        <v>907</v>
      </c>
      <c r="C34" s="33" t="s">
        <v>498</v>
      </c>
      <c r="D34" s="33" t="s">
        <v>64</v>
      </c>
      <c r="E34" s="107">
        <v>45741</v>
      </c>
      <c r="F34" s="107">
        <v>45741</v>
      </c>
      <c r="G34" s="107">
        <v>45741</v>
      </c>
      <c r="H34" s="33" t="s">
        <v>1457</v>
      </c>
      <c r="I34" s="297">
        <v>46471</v>
      </c>
      <c r="J34" s="108" t="s">
        <v>1013</v>
      </c>
      <c r="K34" s="108"/>
    </row>
    <row r="35" spans="1:11">
      <c r="A35" s="4"/>
      <c r="B35" s="33" t="s">
        <v>447</v>
      </c>
      <c r="C35" s="33" t="s">
        <v>613</v>
      </c>
      <c r="D35" s="33" t="s">
        <v>64</v>
      </c>
      <c r="E35" s="107">
        <v>45748</v>
      </c>
      <c r="F35" s="107">
        <v>45748</v>
      </c>
      <c r="G35" s="107">
        <v>46478</v>
      </c>
      <c r="H35" s="33" t="s">
        <v>1458</v>
      </c>
      <c r="I35" s="297">
        <v>46478</v>
      </c>
      <c r="J35" s="108"/>
      <c r="K35" s="108"/>
    </row>
    <row r="36" spans="1:11">
      <c r="A36" s="4"/>
      <c r="B36" s="33" t="s">
        <v>493</v>
      </c>
      <c r="C36" s="33" t="s">
        <v>494</v>
      </c>
      <c r="D36" s="33" t="s">
        <v>64</v>
      </c>
      <c r="E36" s="107">
        <v>45755</v>
      </c>
      <c r="F36" s="107">
        <v>45755</v>
      </c>
      <c r="G36" s="107">
        <v>45755</v>
      </c>
      <c r="H36" s="33" t="s">
        <v>1459</v>
      </c>
      <c r="I36" s="297">
        <v>46485</v>
      </c>
      <c r="J36" s="108"/>
      <c r="K36" s="108"/>
    </row>
    <row r="37" spans="1:11">
      <c r="A37" s="4"/>
      <c r="B37" s="33" t="s">
        <v>256</v>
      </c>
      <c r="C37" s="33" t="s">
        <v>114</v>
      </c>
      <c r="D37" s="33" t="s">
        <v>64</v>
      </c>
      <c r="E37" s="107">
        <v>45757</v>
      </c>
      <c r="F37" s="107">
        <v>45757</v>
      </c>
      <c r="G37" s="107">
        <v>45757</v>
      </c>
      <c r="H37" s="33" t="s">
        <v>1460</v>
      </c>
      <c r="I37" s="297">
        <v>46487</v>
      </c>
      <c r="J37" s="108"/>
      <c r="K37" s="108"/>
    </row>
    <row r="38" spans="1:11">
      <c r="A38" s="4"/>
      <c r="B38" s="33" t="s">
        <v>838</v>
      </c>
      <c r="C38" s="33" t="s">
        <v>839</v>
      </c>
      <c r="D38" s="33" t="s">
        <v>64</v>
      </c>
      <c r="E38" s="107">
        <v>45825</v>
      </c>
      <c r="F38" s="107">
        <v>45825</v>
      </c>
      <c r="G38" s="107">
        <v>45825</v>
      </c>
      <c r="H38" s="33" t="s">
        <v>1461</v>
      </c>
      <c r="I38" s="297">
        <v>46555</v>
      </c>
      <c r="J38" s="108"/>
      <c r="K38" s="108"/>
    </row>
    <row r="39" spans="1:11">
      <c r="A39" s="4"/>
      <c r="B39" s="33" t="s">
        <v>671</v>
      </c>
      <c r="C39" s="33" t="s">
        <v>276</v>
      </c>
      <c r="D39" s="33" t="s">
        <v>64</v>
      </c>
      <c r="E39" s="107">
        <v>45832</v>
      </c>
      <c r="F39" s="107">
        <v>45832</v>
      </c>
      <c r="G39" s="107">
        <v>45832</v>
      </c>
      <c r="H39" s="33" t="s">
        <v>1462</v>
      </c>
      <c r="I39" s="297">
        <v>46562</v>
      </c>
      <c r="J39" s="108"/>
      <c r="K39" s="108"/>
    </row>
    <row r="40" spans="1:11">
      <c r="A40" s="4"/>
      <c r="B40" s="33" t="s">
        <v>450</v>
      </c>
      <c r="C40" s="33" t="s">
        <v>346</v>
      </c>
      <c r="D40" s="33" t="s">
        <v>64</v>
      </c>
      <c r="E40" s="107">
        <v>45841</v>
      </c>
      <c r="F40" s="107">
        <v>45841</v>
      </c>
      <c r="G40" s="107">
        <v>45841</v>
      </c>
      <c r="H40" s="33" t="s">
        <v>1463</v>
      </c>
      <c r="I40" s="297">
        <v>46571</v>
      </c>
      <c r="J40" s="108"/>
      <c r="K40" s="108"/>
    </row>
    <row r="41" spans="1:11">
      <c r="A41" s="4"/>
      <c r="B41" s="33" t="s">
        <v>970</v>
      </c>
      <c r="C41" s="33" t="s">
        <v>971</v>
      </c>
      <c r="D41" s="33" t="s">
        <v>64</v>
      </c>
      <c r="E41" s="107">
        <v>45841</v>
      </c>
      <c r="F41" s="107">
        <v>45841</v>
      </c>
      <c r="G41" s="107">
        <v>45841</v>
      </c>
      <c r="H41" s="33" t="s">
        <v>1464</v>
      </c>
      <c r="I41" s="297">
        <v>46571</v>
      </c>
      <c r="J41" s="108"/>
      <c r="K41" s="108"/>
    </row>
    <row r="42" spans="1:11">
      <c r="A42" s="66"/>
      <c r="B42" s="179" t="s">
        <v>230</v>
      </c>
      <c r="C42" s="179" t="s">
        <v>231</v>
      </c>
      <c r="D42" s="33" t="s">
        <v>64</v>
      </c>
      <c r="E42" s="268">
        <v>45853</v>
      </c>
      <c r="F42" s="268">
        <v>45853</v>
      </c>
      <c r="G42" s="268">
        <v>45853</v>
      </c>
      <c r="H42" s="269" t="s">
        <v>1465</v>
      </c>
      <c r="I42" s="297">
        <v>46583</v>
      </c>
      <c r="J42" s="108"/>
      <c r="K42" s="108"/>
    </row>
    <row r="43" spans="1:11">
      <c r="A43" s="4"/>
      <c r="B43" s="33" t="s">
        <v>1466</v>
      </c>
      <c r="C43" s="33" t="s">
        <v>379</v>
      </c>
      <c r="D43" s="33" t="s">
        <v>64</v>
      </c>
      <c r="E43" s="166">
        <v>45678</v>
      </c>
      <c r="F43" s="166">
        <v>45678</v>
      </c>
      <c r="G43" s="107">
        <v>45678</v>
      </c>
      <c r="H43" s="33" t="s">
        <v>1467</v>
      </c>
      <c r="I43" s="297">
        <v>46589</v>
      </c>
      <c r="J43" s="108"/>
      <c r="K43" s="108"/>
    </row>
    <row r="44" spans="1:11">
      <c r="A44" s="4"/>
      <c r="B44" s="33" t="s">
        <v>265</v>
      </c>
      <c r="C44" s="33" t="s">
        <v>266</v>
      </c>
      <c r="D44" s="33" t="s">
        <v>64</v>
      </c>
      <c r="E44" s="107">
        <v>45918</v>
      </c>
      <c r="F44" s="277">
        <v>45918</v>
      </c>
      <c r="G44" s="277">
        <v>45918</v>
      </c>
      <c r="H44" s="206" t="s">
        <v>1468</v>
      </c>
      <c r="I44" s="330">
        <v>46648</v>
      </c>
      <c r="J44" s="108"/>
      <c r="K44" s="108"/>
    </row>
    <row r="45" spans="1:11">
      <c r="A45" s="4"/>
      <c r="B45" s="53" t="s">
        <v>532</v>
      </c>
      <c r="C45" s="33" t="s">
        <v>533</v>
      </c>
      <c r="D45" s="33" t="s">
        <v>64</v>
      </c>
      <c r="E45" s="297">
        <v>45918</v>
      </c>
      <c r="F45" s="268">
        <v>45918</v>
      </c>
      <c r="G45" s="268">
        <v>45918</v>
      </c>
      <c r="H45" s="131" t="s">
        <v>1469</v>
      </c>
      <c r="I45" s="331">
        <v>46648</v>
      </c>
      <c r="J45" s="108" t="s">
        <v>1013</v>
      </c>
      <c r="K45" s="108"/>
    </row>
    <row r="46" spans="1:11">
      <c r="A46" s="4"/>
      <c r="B46" s="33" t="s">
        <v>761</v>
      </c>
      <c r="C46" s="33" t="s">
        <v>114</v>
      </c>
      <c r="D46" s="33" t="s">
        <v>64</v>
      </c>
      <c r="E46" s="107">
        <v>45995</v>
      </c>
      <c r="F46" s="107">
        <v>45995</v>
      </c>
      <c r="G46" s="107">
        <v>45995</v>
      </c>
      <c r="H46" s="33" t="s">
        <v>1470</v>
      </c>
      <c r="I46" s="297">
        <v>46725</v>
      </c>
      <c r="J46" s="108"/>
      <c r="K46" s="108"/>
    </row>
    <row r="47" spans="1:11">
      <c r="A47" s="4"/>
      <c r="B47" s="34" t="s">
        <v>19</v>
      </c>
      <c r="C47" s="33" t="s">
        <v>20</v>
      </c>
      <c r="D47" s="33" t="s">
        <v>64</v>
      </c>
      <c r="E47" s="107">
        <v>45302</v>
      </c>
      <c r="F47" s="296">
        <v>46030</v>
      </c>
      <c r="G47" s="296">
        <v>46034</v>
      </c>
      <c r="H47" s="32" t="s">
        <v>1471</v>
      </c>
      <c r="I47" s="332">
        <f>G47+365.25*2</f>
        <v>46764.5</v>
      </c>
      <c r="J47" s="109"/>
      <c r="K47" s="109"/>
    </row>
    <row r="48" spans="1:11">
      <c r="A48" s="4"/>
      <c r="B48" s="33" t="s">
        <v>418</v>
      </c>
      <c r="C48" s="33" t="s">
        <v>114</v>
      </c>
      <c r="D48" s="33" t="s">
        <v>64</v>
      </c>
      <c r="E48" s="107">
        <v>45302</v>
      </c>
      <c r="F48" s="107">
        <v>46030</v>
      </c>
      <c r="G48" s="107">
        <v>46034</v>
      </c>
      <c r="H48" s="33" t="s">
        <v>1472</v>
      </c>
      <c r="I48" s="297">
        <f>G48+365.25*2</f>
        <v>46764.5</v>
      </c>
      <c r="J48" s="109"/>
      <c r="K48" s="109"/>
    </row>
    <row r="49" spans="1:11">
      <c r="A49" s="4"/>
      <c r="B49" s="206" t="s">
        <v>501</v>
      </c>
      <c r="C49" s="206" t="s">
        <v>502</v>
      </c>
      <c r="D49" s="33" t="s">
        <v>64</v>
      </c>
      <c r="E49" s="277">
        <v>45992</v>
      </c>
      <c r="F49" s="277">
        <v>45992</v>
      </c>
      <c r="G49" s="277">
        <v>45992</v>
      </c>
      <c r="H49" s="33" t="s">
        <v>1473</v>
      </c>
      <c r="I49" s="297">
        <v>46798</v>
      </c>
      <c r="J49" s="109"/>
      <c r="K49" s="109"/>
    </row>
    <row r="50" spans="1:11">
      <c r="A50" s="66"/>
      <c r="B50" s="179" t="s">
        <v>643</v>
      </c>
      <c r="C50" s="179" t="s">
        <v>369</v>
      </c>
      <c r="D50" s="33" t="s">
        <v>64</v>
      </c>
      <c r="E50" s="268">
        <v>46072</v>
      </c>
      <c r="F50" s="268">
        <v>46072</v>
      </c>
      <c r="G50" s="268">
        <v>46072</v>
      </c>
      <c r="H50" s="269" t="s">
        <v>1474</v>
      </c>
      <c r="I50" s="297">
        <v>46802</v>
      </c>
      <c r="J50" s="108"/>
      <c r="K50" s="108"/>
    </row>
    <row r="51" spans="1:11">
      <c r="A51" s="66"/>
      <c r="B51" s="179" t="s">
        <v>756</v>
      </c>
      <c r="C51" s="179" t="s">
        <v>431</v>
      </c>
      <c r="D51" s="33" t="s">
        <v>64</v>
      </c>
      <c r="E51" s="268">
        <v>46007</v>
      </c>
      <c r="F51" s="268">
        <v>46007</v>
      </c>
      <c r="G51" s="268">
        <v>46007</v>
      </c>
      <c r="H51" s="269" t="s">
        <v>1475</v>
      </c>
      <c r="I51" s="297">
        <v>46811</v>
      </c>
      <c r="J51" s="109"/>
      <c r="K51" s="109"/>
    </row>
    <row r="52" spans="1:11">
      <c r="A52" s="4"/>
      <c r="B52" s="32" t="s">
        <v>590</v>
      </c>
      <c r="C52" s="32" t="s">
        <v>369</v>
      </c>
      <c r="D52" s="33" t="s">
        <v>64</v>
      </c>
      <c r="E52" s="296">
        <v>46058</v>
      </c>
      <c r="F52" s="296">
        <v>46093</v>
      </c>
      <c r="G52" s="296">
        <v>45356</v>
      </c>
      <c r="H52" s="33" t="s">
        <v>1476</v>
      </c>
      <c r="I52" s="297">
        <v>46824</v>
      </c>
      <c r="J52" s="109"/>
      <c r="K52" s="109"/>
    </row>
    <row r="53" spans="1:11">
      <c r="A53" s="4"/>
      <c r="B53" s="33" t="s">
        <v>386</v>
      </c>
      <c r="C53" s="33" t="s">
        <v>387</v>
      </c>
      <c r="D53" s="33" t="s">
        <v>64</v>
      </c>
      <c r="E53" s="107">
        <v>46105</v>
      </c>
      <c r="F53" s="107">
        <v>46105</v>
      </c>
      <c r="G53" s="107">
        <v>46086</v>
      </c>
      <c r="H53" s="33" t="s">
        <v>1477</v>
      </c>
      <c r="I53" s="297">
        <v>46836</v>
      </c>
      <c r="J53" s="108"/>
      <c r="K53" s="108"/>
    </row>
    <row r="54" spans="1:11">
      <c r="A54" s="4"/>
      <c r="B54" s="33" t="s">
        <v>1478</v>
      </c>
      <c r="C54" s="33" t="s">
        <v>286</v>
      </c>
      <c r="D54" s="33" t="s">
        <v>64</v>
      </c>
      <c r="E54" s="107">
        <v>46077</v>
      </c>
      <c r="F54" s="107">
        <v>46077</v>
      </c>
      <c r="G54" s="107">
        <v>46079</v>
      </c>
      <c r="H54" s="33" t="s">
        <v>1479</v>
      </c>
      <c r="I54" s="297">
        <v>46840</v>
      </c>
      <c r="J54" s="109"/>
      <c r="K54" s="109"/>
    </row>
    <row r="55" spans="1:11">
      <c r="A55" s="4"/>
      <c r="B55" s="33" t="s">
        <v>899</v>
      </c>
      <c r="C55" s="33" t="s">
        <v>1480</v>
      </c>
      <c r="D55" s="33"/>
      <c r="E55" s="107">
        <v>46119</v>
      </c>
      <c r="F55" s="107">
        <v>46119</v>
      </c>
      <c r="G55" s="107">
        <v>46119</v>
      </c>
      <c r="H55" s="33" t="s">
        <v>1481</v>
      </c>
      <c r="I55" s="297">
        <v>46850</v>
      </c>
      <c r="J55" s="108"/>
      <c r="K55" s="108"/>
    </row>
    <row r="56" spans="1:11">
      <c r="A56" s="4"/>
      <c r="B56" s="33" t="s">
        <v>409</v>
      </c>
      <c r="C56" s="33" t="s">
        <v>410</v>
      </c>
      <c r="D56" s="33" t="s">
        <v>64</v>
      </c>
      <c r="E56" s="107">
        <v>46086</v>
      </c>
      <c r="F56" s="107">
        <v>46086</v>
      </c>
      <c r="G56" s="107">
        <v>46100</v>
      </c>
      <c r="H56" s="33" t="s">
        <v>1482</v>
      </c>
      <c r="I56" s="297">
        <v>46866</v>
      </c>
      <c r="J56" s="109"/>
      <c r="K56" s="109"/>
    </row>
    <row r="57" spans="1:11">
      <c r="A57" s="4"/>
      <c r="B57" s="33" t="s">
        <v>24</v>
      </c>
      <c r="C57" s="33" t="s">
        <v>25</v>
      </c>
      <c r="D57" s="33" t="s">
        <v>64</v>
      </c>
      <c r="E57" s="107">
        <v>46086</v>
      </c>
      <c r="F57" s="107">
        <v>46086</v>
      </c>
      <c r="G57" s="107">
        <v>46105</v>
      </c>
      <c r="H57" s="33" t="s">
        <v>1483</v>
      </c>
      <c r="I57" s="297">
        <v>46868</v>
      </c>
      <c r="J57" s="109"/>
      <c r="K57" s="109"/>
    </row>
    <row r="58" spans="1:11">
      <c r="A58" s="4"/>
      <c r="B58" s="33" t="s">
        <v>612</v>
      </c>
      <c r="C58" s="33" t="s">
        <v>613</v>
      </c>
      <c r="D58" s="33" t="s">
        <v>64</v>
      </c>
      <c r="E58" s="107">
        <v>46098</v>
      </c>
      <c r="F58" s="107">
        <v>46098</v>
      </c>
      <c r="G58" s="107">
        <v>46100</v>
      </c>
      <c r="H58" s="33" t="s">
        <v>1484</v>
      </c>
      <c r="I58" s="297">
        <v>46888</v>
      </c>
      <c r="J58" s="109"/>
      <c r="K58" s="109"/>
    </row>
    <row r="59" spans="1:11">
      <c r="A59" s="4"/>
      <c r="B59" s="33" t="s">
        <v>778</v>
      </c>
      <c r="C59" s="33" t="s">
        <v>1485</v>
      </c>
      <c r="D59" s="33" t="s">
        <v>64</v>
      </c>
      <c r="E59" s="107">
        <v>46119</v>
      </c>
      <c r="F59" s="107">
        <v>46119</v>
      </c>
      <c r="G59" s="107">
        <v>46120</v>
      </c>
      <c r="H59" s="33" t="s">
        <v>1486</v>
      </c>
      <c r="I59" s="297">
        <v>46910</v>
      </c>
      <c r="J59" s="109"/>
      <c r="K59" s="109"/>
    </row>
    <row r="60" spans="1:11">
      <c r="A60" s="4"/>
      <c r="B60" s="4"/>
      <c r="C60" s="4"/>
      <c r="D60" s="4"/>
      <c r="E60" s="19"/>
      <c r="F60" s="19"/>
      <c r="G60" s="19"/>
      <c r="H60" s="4"/>
      <c r="I60" s="222"/>
      <c r="J60" s="108"/>
      <c r="K60" s="108"/>
    </row>
    <row r="61" spans="1:11">
      <c r="A61" s="4"/>
      <c r="B61" s="4"/>
      <c r="C61" s="4"/>
      <c r="D61" s="4"/>
      <c r="E61" s="19"/>
      <c r="F61" s="19"/>
      <c r="G61" s="19"/>
      <c r="H61" s="4"/>
      <c r="I61" s="222"/>
      <c r="J61" s="108"/>
      <c r="K61" s="108"/>
    </row>
    <row r="62" spans="1:11">
      <c r="A62" s="4"/>
      <c r="B62" s="4"/>
      <c r="C62" s="4"/>
      <c r="D62" s="4"/>
      <c r="E62" s="19"/>
      <c r="F62" s="19"/>
      <c r="G62" s="19"/>
      <c r="H62" s="4"/>
      <c r="I62" s="222"/>
      <c r="J62" s="108"/>
      <c r="K62" s="108"/>
    </row>
    <row r="63" spans="1:11">
      <c r="A63" s="4"/>
      <c r="B63" s="4"/>
      <c r="C63" s="4"/>
      <c r="D63" s="4"/>
      <c r="E63" s="19"/>
      <c r="F63" s="19"/>
      <c r="G63" s="19"/>
      <c r="H63" s="4"/>
      <c r="I63" s="222"/>
      <c r="J63" s="108"/>
      <c r="K63" s="108"/>
    </row>
    <row r="64" spans="1:11">
      <c r="A64" s="4"/>
      <c r="B64" s="4"/>
      <c r="C64" s="4"/>
      <c r="D64" s="4"/>
      <c r="E64" s="19"/>
      <c r="F64" s="19"/>
      <c r="G64" s="19"/>
      <c r="H64" s="4"/>
      <c r="I64" s="222"/>
      <c r="J64" s="108"/>
      <c r="K64" s="108"/>
    </row>
    <row r="65" spans="1:11">
      <c r="A65" s="4"/>
      <c r="B65" s="4"/>
      <c r="C65" s="4"/>
      <c r="D65" s="4"/>
      <c r="E65" s="19"/>
      <c r="F65" s="19"/>
      <c r="G65" s="19"/>
      <c r="H65" s="4"/>
      <c r="I65" s="222"/>
      <c r="J65" s="108"/>
      <c r="K65" s="108"/>
    </row>
    <row r="66" spans="1:11">
      <c r="A66" s="4"/>
      <c r="B66" s="4"/>
      <c r="C66" s="4"/>
      <c r="D66" s="4"/>
      <c r="E66" s="19"/>
      <c r="F66" s="19"/>
      <c r="G66" s="19"/>
      <c r="H66" s="4"/>
      <c r="I66" s="222"/>
      <c r="J66" s="108"/>
      <c r="K66" s="108"/>
    </row>
    <row r="67" spans="1:11">
      <c r="A67" s="4"/>
      <c r="B67" s="4"/>
      <c r="C67" s="4"/>
      <c r="D67" s="4"/>
      <c r="E67" s="19"/>
      <c r="F67" s="19"/>
      <c r="G67" s="19"/>
      <c r="H67" s="4"/>
      <c r="I67" s="222"/>
      <c r="J67" s="108"/>
      <c r="K67" s="108"/>
    </row>
  </sheetData>
  <autoFilter ref="A5:K5" xr:uid="{CEE806E4-C4B4-4D45-BA22-3F59D42856B9}">
    <sortState xmlns:xlrd2="http://schemas.microsoft.com/office/spreadsheetml/2017/richdata2" ref="A5:K6">
      <sortCondition ref="I5"/>
    </sortState>
  </autoFilter>
  <sortState xmlns:xlrd2="http://schemas.microsoft.com/office/spreadsheetml/2017/richdata2" ref="A6:K57">
    <sortCondition ref="I6:I57"/>
  </sortState>
  <mergeCells count="2">
    <mergeCell ref="A1:I1"/>
    <mergeCell ref="P5:X5"/>
  </mergeCells>
  <phoneticPr fontId="6" type="noConversion"/>
  <conditionalFormatting sqref="I6:I67 X10:X11 X16">
    <cfRule type="cellIs" dxfId="2" priority="2" operator="lessThan">
      <formula>$C$3+90</formula>
    </cfRule>
  </conditionalFormatting>
  <conditionalFormatting sqref="X6">
    <cfRule type="cellIs" dxfId="1" priority="1" operator="lessThan">
      <formula>$C$3+90</formula>
    </cfRule>
  </conditionalFormatting>
  <hyperlinks>
    <hyperlink ref="B47" r:id="rId1" xr:uid="{40D2C84D-413B-43FF-BC48-284A5ECDFA52}"/>
  </hyperlinks>
  <printOptions horizontalCentered="1" verticalCentered="1"/>
  <pageMargins left="0.7" right="0.7" top="0.75" bottom="0.75" header="0.3" footer="0.3"/>
  <pageSetup paperSize="8" fitToHeight="0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EBABF-42D8-47B1-B5B3-08B131118C9A}">
  <sheetPr filterMode="1">
    <pageSetUpPr fitToPage="1"/>
  </sheetPr>
  <dimension ref="A1:J99"/>
  <sheetViews>
    <sheetView topLeftCell="A20" workbookViewId="0">
      <selection activeCell="A25" sqref="A25"/>
    </sheetView>
  </sheetViews>
  <sheetFormatPr defaultColWidth="11.42578125" defaultRowHeight="15"/>
  <cols>
    <col min="1" max="1" width="21.140625" customWidth="1"/>
    <col min="2" max="2" width="15.7109375" customWidth="1"/>
    <col min="3" max="3" width="17.140625" bestFit="1" customWidth="1"/>
    <col min="4" max="4" width="15.42578125" style="18" customWidth="1"/>
    <col min="6" max="6" width="13.140625" customWidth="1"/>
    <col min="7" max="7" width="15.140625" customWidth="1"/>
    <col min="8" max="8" width="17" bestFit="1" customWidth="1"/>
  </cols>
  <sheetData>
    <row r="1" spans="1:10" ht="18.75">
      <c r="A1" s="435" t="s">
        <v>1487</v>
      </c>
      <c r="B1" s="435"/>
      <c r="C1" s="435"/>
      <c r="D1" s="435"/>
      <c r="E1" s="435"/>
      <c r="F1" s="435"/>
      <c r="G1" s="435"/>
      <c r="H1" s="435"/>
    </row>
    <row r="2" spans="1:10" ht="26.45" customHeight="1">
      <c r="B2" t="e" vm="1">
        <v>#VALUE!</v>
      </c>
    </row>
    <row r="3" spans="1:10">
      <c r="A3" s="6" t="s">
        <v>17</v>
      </c>
      <c r="B3" s="6" t="s">
        <v>18</v>
      </c>
    </row>
    <row r="4" spans="1:10" ht="15.75" thickBot="1">
      <c r="H4">
        <v>30</v>
      </c>
    </row>
    <row r="5" spans="1:10">
      <c r="A5" s="1" t="s">
        <v>1488</v>
      </c>
      <c r="B5" s="2" t="s">
        <v>1489</v>
      </c>
      <c r="C5" s="2" t="s">
        <v>41</v>
      </c>
      <c r="D5" s="63" t="s">
        <v>1490</v>
      </c>
      <c r="E5" s="2" t="s">
        <v>1491</v>
      </c>
      <c r="F5" s="3" t="s">
        <v>1492</v>
      </c>
      <c r="G5" s="3" t="s">
        <v>52</v>
      </c>
      <c r="H5" s="3" t="s">
        <v>978</v>
      </c>
    </row>
    <row r="6" spans="1:10">
      <c r="A6" s="4" t="s">
        <v>1493</v>
      </c>
      <c r="B6" s="4" t="s">
        <v>1494</v>
      </c>
      <c r="C6" s="4" t="s">
        <v>1495</v>
      </c>
      <c r="D6" s="17" t="s">
        <v>1496</v>
      </c>
      <c r="E6" s="19">
        <v>45306</v>
      </c>
      <c r="F6" s="19">
        <f>IF(E6="","",E6+365.25*3)</f>
        <v>46401.75</v>
      </c>
      <c r="G6" s="4">
        <v>78385</v>
      </c>
      <c r="H6" s="4" t="s">
        <v>1497</v>
      </c>
      <c r="I6" t="s">
        <v>1498</v>
      </c>
      <c r="J6">
        <v>857133</v>
      </c>
    </row>
    <row r="7" spans="1:10">
      <c r="A7" s="4" t="s">
        <v>1499</v>
      </c>
      <c r="B7" s="28" t="s">
        <v>1494</v>
      </c>
      <c r="C7" s="4" t="s">
        <v>1500</v>
      </c>
      <c r="D7" s="17" t="s">
        <v>1501</v>
      </c>
      <c r="E7" s="19">
        <v>45306</v>
      </c>
      <c r="F7" s="19">
        <f>IF(E7="","",E7+365.25*3)</f>
        <v>46401.75</v>
      </c>
      <c r="G7" s="4">
        <v>78386</v>
      </c>
      <c r="H7" s="4" t="s">
        <v>1502</v>
      </c>
    </row>
    <row r="8" spans="1:10">
      <c r="A8" s="4" t="s">
        <v>1503</v>
      </c>
      <c r="B8" s="4" t="s">
        <v>1494</v>
      </c>
      <c r="C8" s="4" t="s">
        <v>1495</v>
      </c>
      <c r="D8" s="17" t="s">
        <v>1504</v>
      </c>
      <c r="E8" s="19">
        <v>45306</v>
      </c>
      <c r="F8" s="19">
        <f>IF(E8="","",E8+365.25*3)</f>
        <v>46401.75</v>
      </c>
      <c r="G8" s="4">
        <v>78387</v>
      </c>
      <c r="H8" s="4" t="s">
        <v>1505</v>
      </c>
    </row>
    <row r="9" spans="1:10">
      <c r="A9" s="4" t="s">
        <v>1506</v>
      </c>
      <c r="B9" s="4" t="s">
        <v>1494</v>
      </c>
      <c r="C9" s="4" t="s">
        <v>1495</v>
      </c>
      <c r="D9" s="17" t="s">
        <v>1507</v>
      </c>
      <c r="E9" s="19">
        <v>45306</v>
      </c>
      <c r="F9" s="19">
        <f>IF(E9="","",E9+365.25*3)</f>
        <v>46401.75</v>
      </c>
      <c r="G9" s="4">
        <v>78388</v>
      </c>
      <c r="H9" s="4"/>
      <c r="I9" t="s">
        <v>1498</v>
      </c>
      <c r="J9">
        <v>857132</v>
      </c>
    </row>
    <row r="10" spans="1:10">
      <c r="A10" s="4" t="s">
        <v>1508</v>
      </c>
      <c r="B10" s="4" t="s">
        <v>1509</v>
      </c>
      <c r="C10" s="4" t="s">
        <v>1510</v>
      </c>
      <c r="D10" s="17" t="s">
        <v>1511</v>
      </c>
      <c r="E10" s="19">
        <v>45330</v>
      </c>
      <c r="F10" s="19">
        <f>IF(E10="","",E10+365.25*3)+1</f>
        <v>46426.75</v>
      </c>
      <c r="G10" s="4">
        <v>78902</v>
      </c>
      <c r="H10" s="4" t="s">
        <v>1512</v>
      </c>
    </row>
    <row r="11" spans="1:10">
      <c r="A11" s="4" t="s">
        <v>1513</v>
      </c>
      <c r="B11" s="4" t="s">
        <v>1494</v>
      </c>
      <c r="C11" s="4" t="s">
        <v>1514</v>
      </c>
      <c r="D11" s="17" t="s">
        <v>1515</v>
      </c>
      <c r="E11" s="19">
        <v>45330</v>
      </c>
      <c r="F11" s="19">
        <f>IF(E11="","",E11+365.25*3)+1</f>
        <v>46426.75</v>
      </c>
      <c r="G11" s="4">
        <v>78903</v>
      </c>
      <c r="H11" s="4" t="s">
        <v>1516</v>
      </c>
    </row>
    <row r="12" spans="1:10">
      <c r="A12" s="4" t="s">
        <v>1517</v>
      </c>
      <c r="B12" s="4" t="s">
        <v>1494</v>
      </c>
      <c r="C12" s="4" t="s">
        <v>1518</v>
      </c>
      <c r="D12" s="17" t="s">
        <v>1519</v>
      </c>
      <c r="E12" s="19">
        <v>45342</v>
      </c>
      <c r="F12" s="19">
        <f>IF(E12="","",E12+365.25*3)</f>
        <v>46437.75</v>
      </c>
      <c r="G12" s="4">
        <v>79116</v>
      </c>
      <c r="H12" s="4" t="s">
        <v>1520</v>
      </c>
    </row>
    <row r="13" spans="1:10" ht="13.5" customHeight="1">
      <c r="A13" s="4" t="s">
        <v>1521</v>
      </c>
      <c r="B13" s="4" t="s">
        <v>1522</v>
      </c>
      <c r="C13" s="4" t="s">
        <v>1523</v>
      </c>
      <c r="D13" s="17" t="s">
        <v>1524</v>
      </c>
      <c r="E13" s="19">
        <v>45356</v>
      </c>
      <c r="F13" s="19">
        <v>46452</v>
      </c>
      <c r="G13" s="4">
        <v>79339</v>
      </c>
      <c r="H13" s="4" t="s">
        <v>756</v>
      </c>
    </row>
    <row r="14" spans="1:10" ht="13.5" customHeight="1">
      <c r="A14" s="225" t="s">
        <v>1525</v>
      </c>
      <c r="B14" s="225" t="s">
        <v>1526</v>
      </c>
      <c r="C14" s="225" t="s">
        <v>1527</v>
      </c>
      <c r="D14" s="226" t="s">
        <v>1528</v>
      </c>
      <c r="E14" s="227">
        <v>45545</v>
      </c>
      <c r="F14" s="227">
        <v>46640</v>
      </c>
      <c r="G14" s="225">
        <v>83190</v>
      </c>
      <c r="H14" s="225" t="s">
        <v>418</v>
      </c>
    </row>
    <row r="15" spans="1:10" ht="13.5" customHeight="1">
      <c r="A15" s="4" t="s">
        <v>1529</v>
      </c>
      <c r="B15" s="4" t="s">
        <v>1522</v>
      </c>
      <c r="C15" s="4" t="s">
        <v>1523</v>
      </c>
      <c r="D15" s="17" t="s">
        <v>1530</v>
      </c>
      <c r="E15" s="19">
        <v>45552</v>
      </c>
      <c r="F15" s="19">
        <f t="shared" ref="F15:F20" si="0">IF(E15="","",E15+365.25*3)</f>
        <v>46647.75</v>
      </c>
      <c r="G15" s="4">
        <v>83317</v>
      </c>
      <c r="H15" s="4" t="s">
        <v>702</v>
      </c>
      <c r="I15" t="s">
        <v>1498</v>
      </c>
      <c r="J15">
        <v>829297</v>
      </c>
    </row>
    <row r="16" spans="1:10" ht="13.5" customHeight="1">
      <c r="A16" s="4" t="s">
        <v>1531</v>
      </c>
      <c r="B16" s="4" t="s">
        <v>1532</v>
      </c>
      <c r="C16" s="4" t="s">
        <v>1533</v>
      </c>
      <c r="D16" s="17" t="s">
        <v>1534</v>
      </c>
      <c r="E16" s="19">
        <v>45554</v>
      </c>
      <c r="F16" s="19">
        <f t="shared" si="0"/>
        <v>46649.75</v>
      </c>
      <c r="G16" s="4">
        <v>83367</v>
      </c>
      <c r="H16" s="4" t="s">
        <v>1505</v>
      </c>
    </row>
    <row r="17" spans="1:10" ht="13.5" customHeight="1">
      <c r="A17" s="4" t="s">
        <v>1535</v>
      </c>
      <c r="B17" s="4" t="s">
        <v>1532</v>
      </c>
      <c r="C17" s="4" t="s">
        <v>1533</v>
      </c>
      <c r="D17" s="17" t="s">
        <v>1536</v>
      </c>
      <c r="E17" s="19">
        <v>45554</v>
      </c>
      <c r="F17" s="19">
        <f t="shared" si="0"/>
        <v>46649.75</v>
      </c>
      <c r="G17" s="4">
        <v>83368</v>
      </c>
      <c r="H17" s="4" t="s">
        <v>1505</v>
      </c>
    </row>
    <row r="18" spans="1:10" ht="13.5" customHeight="1">
      <c r="A18" s="4" t="s">
        <v>1537</v>
      </c>
      <c r="B18" s="4" t="s">
        <v>1532</v>
      </c>
      <c r="C18" s="4" t="s">
        <v>1533</v>
      </c>
      <c r="D18" s="17" t="s">
        <v>1538</v>
      </c>
      <c r="E18" s="19">
        <v>45554</v>
      </c>
      <c r="F18" s="19">
        <f t="shared" si="0"/>
        <v>46649.75</v>
      </c>
      <c r="G18" s="4">
        <v>83369</v>
      </c>
      <c r="H18" s="4" t="s">
        <v>1505</v>
      </c>
    </row>
    <row r="19" spans="1:10">
      <c r="A19" s="4" t="s">
        <v>1539</v>
      </c>
      <c r="B19" s="4" t="s">
        <v>1494</v>
      </c>
      <c r="C19" s="4" t="s">
        <v>1495</v>
      </c>
      <c r="D19" s="17" t="s">
        <v>1540</v>
      </c>
      <c r="E19" s="19">
        <v>45581</v>
      </c>
      <c r="F19" s="19">
        <f t="shared" si="0"/>
        <v>46676.75</v>
      </c>
      <c r="G19" s="4">
        <v>83971</v>
      </c>
      <c r="H19" s="4" t="s">
        <v>1505</v>
      </c>
    </row>
    <row r="20" spans="1:10">
      <c r="A20" s="4" t="s">
        <v>1541</v>
      </c>
      <c r="B20" s="4" t="s">
        <v>1494</v>
      </c>
      <c r="C20" s="4" t="s">
        <v>1495</v>
      </c>
      <c r="D20" s="17" t="s">
        <v>1542</v>
      </c>
      <c r="E20" s="19">
        <v>45581</v>
      </c>
      <c r="F20" s="19">
        <f t="shared" si="0"/>
        <v>46676.75</v>
      </c>
      <c r="G20" s="4">
        <v>83972</v>
      </c>
      <c r="H20" s="4" t="s">
        <v>255</v>
      </c>
    </row>
    <row r="21" spans="1:10">
      <c r="A21" s="225" t="s">
        <v>1543</v>
      </c>
      <c r="B21" s="225" t="s">
        <v>1544</v>
      </c>
      <c r="C21" s="225" t="s">
        <v>1545</v>
      </c>
      <c r="D21" s="226" t="s">
        <v>1546</v>
      </c>
      <c r="E21" s="227">
        <v>45643</v>
      </c>
      <c r="F21" s="227">
        <v>46684</v>
      </c>
      <c r="G21" s="225">
        <v>85093</v>
      </c>
      <c r="H21" s="225" t="s">
        <v>19</v>
      </c>
    </row>
    <row r="22" spans="1:10">
      <c r="A22" s="4" t="s">
        <v>1547</v>
      </c>
      <c r="B22" s="4" t="s">
        <v>1548</v>
      </c>
      <c r="C22" s="4" t="s">
        <v>1549</v>
      </c>
      <c r="D22" s="17" t="s">
        <v>1550</v>
      </c>
      <c r="E22" s="19">
        <v>45589</v>
      </c>
      <c r="F22" s="19">
        <f>IF(E22="","",E22+365.25*3)</f>
        <v>46684.75</v>
      </c>
      <c r="G22" s="4">
        <v>84197</v>
      </c>
      <c r="H22" s="4" t="s">
        <v>1551</v>
      </c>
    </row>
    <row r="23" spans="1:10">
      <c r="A23" s="4" t="s">
        <v>1552</v>
      </c>
      <c r="B23" s="4" t="s">
        <v>1548</v>
      </c>
      <c r="C23" s="4" t="s">
        <v>1553</v>
      </c>
      <c r="D23" s="17" t="s">
        <v>1554</v>
      </c>
      <c r="E23" s="19">
        <v>45610</v>
      </c>
      <c r="F23" s="19">
        <v>46705</v>
      </c>
      <c r="G23" s="4">
        <v>84518</v>
      </c>
      <c r="H23" s="4" t="s">
        <v>1555</v>
      </c>
    </row>
    <row r="24" spans="1:10">
      <c r="A24" s="4" t="s">
        <v>1556</v>
      </c>
      <c r="B24" s="4" t="s">
        <v>1557</v>
      </c>
      <c r="C24" s="4" t="s">
        <v>1558</v>
      </c>
      <c r="D24" s="17" t="s">
        <v>1559</v>
      </c>
      <c r="E24" s="19">
        <v>45622</v>
      </c>
      <c r="F24" s="19">
        <v>46717</v>
      </c>
      <c r="G24" s="4">
        <v>84656</v>
      </c>
      <c r="H24" s="4" t="s">
        <v>1560</v>
      </c>
    </row>
    <row r="25" spans="1:10">
      <c r="A25" s="4" t="s">
        <v>1561</v>
      </c>
      <c r="B25" s="4" t="s">
        <v>1557</v>
      </c>
      <c r="C25" s="4" t="s">
        <v>1558</v>
      </c>
      <c r="D25" s="17" t="s">
        <v>1562</v>
      </c>
      <c r="E25" s="19">
        <v>45622</v>
      </c>
      <c r="F25" s="19">
        <v>46717</v>
      </c>
      <c r="G25" s="4">
        <v>84657</v>
      </c>
      <c r="H25" s="4" t="s">
        <v>1563</v>
      </c>
      <c r="I25" t="s">
        <v>1498</v>
      </c>
      <c r="J25">
        <v>857131</v>
      </c>
    </row>
    <row r="26" spans="1:10">
      <c r="A26" s="4" t="s">
        <v>1564</v>
      </c>
      <c r="B26" s="4" t="s">
        <v>1557</v>
      </c>
      <c r="C26" s="4" t="s">
        <v>1558</v>
      </c>
      <c r="D26" s="17" t="s">
        <v>1565</v>
      </c>
      <c r="E26" s="19">
        <v>45622</v>
      </c>
      <c r="F26" s="19">
        <v>46717</v>
      </c>
      <c r="G26" s="4">
        <v>84658</v>
      </c>
      <c r="H26" s="4" t="s">
        <v>1566</v>
      </c>
    </row>
    <row r="27" spans="1:10">
      <c r="A27" s="4" t="s">
        <v>1567</v>
      </c>
      <c r="B27" s="4" t="s">
        <v>1568</v>
      </c>
      <c r="C27" s="4" t="s">
        <v>1569</v>
      </c>
      <c r="D27" s="17" t="s">
        <v>1570</v>
      </c>
      <c r="E27" s="19">
        <v>45631</v>
      </c>
      <c r="F27" s="19">
        <v>46726</v>
      </c>
      <c r="G27" s="4">
        <v>84862</v>
      </c>
      <c r="H27" s="4" t="s">
        <v>1571</v>
      </c>
    </row>
    <row r="28" spans="1:10">
      <c r="A28" s="4" t="s">
        <v>1572</v>
      </c>
      <c r="B28" s="4" t="s">
        <v>1522</v>
      </c>
      <c r="C28" s="4" t="s">
        <v>1523</v>
      </c>
      <c r="D28" s="17" t="s">
        <v>1573</v>
      </c>
      <c r="E28" s="19">
        <v>45643</v>
      </c>
      <c r="F28" s="19">
        <v>46738</v>
      </c>
      <c r="G28" s="4">
        <v>85094</v>
      </c>
      <c r="H28" s="4" t="s">
        <v>378</v>
      </c>
    </row>
    <row r="29" spans="1:10">
      <c r="A29" s="4" t="s">
        <v>1574</v>
      </c>
      <c r="B29" s="4" t="s">
        <v>1526</v>
      </c>
      <c r="C29" s="4" t="s">
        <v>1527</v>
      </c>
      <c r="D29" s="17" t="s">
        <v>1575</v>
      </c>
      <c r="E29" s="19">
        <v>45998</v>
      </c>
      <c r="F29" s="19">
        <v>46759</v>
      </c>
      <c r="G29" s="4">
        <v>85615</v>
      </c>
      <c r="H29" s="4" t="s">
        <v>952</v>
      </c>
    </row>
    <row r="30" spans="1:10">
      <c r="A30" s="4" t="s">
        <v>1576</v>
      </c>
      <c r="B30" s="4" t="s">
        <v>1577</v>
      </c>
      <c r="C30" s="4" t="s">
        <v>1578</v>
      </c>
      <c r="D30" s="17" t="s">
        <v>1579</v>
      </c>
      <c r="E30" s="19">
        <v>45673</v>
      </c>
      <c r="F30" s="19">
        <v>46768</v>
      </c>
      <c r="G30" s="4">
        <v>85799</v>
      </c>
      <c r="H30" s="4" t="s">
        <v>24</v>
      </c>
    </row>
    <row r="31" spans="1:10">
      <c r="A31" s="4" t="s">
        <v>1580</v>
      </c>
      <c r="B31" s="4" t="s">
        <v>1522</v>
      </c>
      <c r="C31" s="4" t="s">
        <v>1523</v>
      </c>
      <c r="D31" s="17" t="s">
        <v>1581</v>
      </c>
      <c r="E31" s="19">
        <v>45840</v>
      </c>
      <c r="F31" s="19">
        <v>46845</v>
      </c>
      <c r="G31" s="4">
        <v>87255</v>
      </c>
      <c r="H31" s="4" t="s">
        <v>256</v>
      </c>
    </row>
    <row r="32" spans="1:10">
      <c r="A32" s="4" t="s">
        <v>1582</v>
      </c>
      <c r="B32" s="4" t="s">
        <v>1494</v>
      </c>
      <c r="C32" s="4" t="s">
        <v>1518</v>
      </c>
      <c r="D32" s="17" t="s">
        <v>1583</v>
      </c>
      <c r="E32" s="19">
        <v>45749</v>
      </c>
      <c r="F32" s="19">
        <v>46845</v>
      </c>
      <c r="G32" s="4">
        <v>87256</v>
      </c>
      <c r="H32" s="4" t="s">
        <v>1584</v>
      </c>
    </row>
    <row r="33" spans="1:8">
      <c r="A33" s="4" t="s">
        <v>1585</v>
      </c>
      <c r="B33" s="4" t="s">
        <v>1586</v>
      </c>
      <c r="C33" s="4" t="s">
        <v>1587</v>
      </c>
      <c r="D33" s="17" t="s">
        <v>1588</v>
      </c>
      <c r="E33" s="19">
        <v>45763</v>
      </c>
      <c r="F33" s="19">
        <v>46859</v>
      </c>
      <c r="G33" s="4">
        <v>87432</v>
      </c>
      <c r="H33" s="4" t="s">
        <v>1589</v>
      </c>
    </row>
    <row r="34" spans="1:8">
      <c r="A34" s="4" t="s">
        <v>1590</v>
      </c>
      <c r="B34" s="4" t="s">
        <v>1548</v>
      </c>
      <c r="C34" s="4" t="s">
        <v>1591</v>
      </c>
      <c r="D34" s="17" t="s">
        <v>1592</v>
      </c>
      <c r="E34" s="19">
        <v>45783</v>
      </c>
      <c r="F34" s="19">
        <v>46879</v>
      </c>
      <c r="G34" s="4">
        <v>87766</v>
      </c>
      <c r="H34" s="4" t="s">
        <v>1416</v>
      </c>
    </row>
    <row r="35" spans="1:8">
      <c r="A35" s="4" t="s">
        <v>1593</v>
      </c>
      <c r="B35" s="4" t="s">
        <v>1494</v>
      </c>
      <c r="C35" s="4" t="s">
        <v>1594</v>
      </c>
      <c r="D35" s="17" t="s">
        <v>1595</v>
      </c>
      <c r="E35" s="19">
        <v>45812</v>
      </c>
      <c r="F35" s="19">
        <v>46908</v>
      </c>
      <c r="G35" s="4">
        <v>88553</v>
      </c>
      <c r="H35" s="4" t="s">
        <v>1596</v>
      </c>
    </row>
    <row r="36" spans="1:8">
      <c r="A36" s="4" t="s">
        <v>1597</v>
      </c>
      <c r="B36" s="4" t="s">
        <v>1494</v>
      </c>
      <c r="C36" s="4" t="s">
        <v>1594</v>
      </c>
      <c r="D36" s="17" t="s">
        <v>1598</v>
      </c>
      <c r="E36" s="19">
        <v>45812</v>
      </c>
      <c r="F36" s="19">
        <v>46908</v>
      </c>
      <c r="G36" s="4">
        <v>88554</v>
      </c>
      <c r="H36" s="4" t="s">
        <v>1599</v>
      </c>
    </row>
    <row r="37" spans="1:8">
      <c r="A37" s="4" t="s">
        <v>1600</v>
      </c>
      <c r="B37" s="4" t="s">
        <v>1494</v>
      </c>
      <c r="C37" s="4" t="s">
        <v>1601</v>
      </c>
      <c r="D37" s="17" t="s">
        <v>1602</v>
      </c>
      <c r="E37" s="19">
        <v>45841</v>
      </c>
      <c r="F37" s="19">
        <v>46937</v>
      </c>
      <c r="G37" s="4">
        <v>89354</v>
      </c>
      <c r="H37" s="4" t="s">
        <v>970</v>
      </c>
    </row>
    <row r="38" spans="1:8">
      <c r="A38" s="4" t="s">
        <v>1603</v>
      </c>
      <c r="B38" s="4" t="s">
        <v>1548</v>
      </c>
      <c r="C38" s="4" t="s">
        <v>1591</v>
      </c>
      <c r="D38" s="17" t="s">
        <v>1604</v>
      </c>
      <c r="E38" s="19">
        <v>45897</v>
      </c>
      <c r="F38" s="19">
        <v>46993</v>
      </c>
      <c r="G38" s="4">
        <v>90926</v>
      </c>
      <c r="H38" s="4" t="s">
        <v>627</v>
      </c>
    </row>
    <row r="39" spans="1:8">
      <c r="A39" s="4" t="s">
        <v>1605</v>
      </c>
      <c r="B39" s="4" t="s">
        <v>1526</v>
      </c>
      <c r="C39" s="4" t="s">
        <v>1606</v>
      </c>
      <c r="D39" s="17" t="s">
        <v>1607</v>
      </c>
      <c r="E39" s="19">
        <v>45924</v>
      </c>
      <c r="F39" s="19">
        <v>47020</v>
      </c>
      <c r="G39" s="4">
        <v>91412</v>
      </c>
      <c r="H39" s="4" t="s">
        <v>256</v>
      </c>
    </row>
    <row r="40" spans="1:8">
      <c r="A40" s="4" t="s">
        <v>1608</v>
      </c>
      <c r="B40" s="4" t="s">
        <v>1494</v>
      </c>
      <c r="C40" s="4" t="s">
        <v>1609</v>
      </c>
      <c r="D40" s="17" t="s">
        <v>1610</v>
      </c>
      <c r="E40" s="19">
        <v>45944</v>
      </c>
      <c r="F40" s="19">
        <v>47040</v>
      </c>
      <c r="G40" s="4">
        <v>91816</v>
      </c>
      <c r="H40" s="4" t="s">
        <v>1555</v>
      </c>
    </row>
    <row r="41" spans="1:8">
      <c r="A41" s="4" t="s">
        <v>1611</v>
      </c>
      <c r="B41" s="4" t="s">
        <v>1494</v>
      </c>
      <c r="C41" s="4" t="s">
        <v>1518</v>
      </c>
      <c r="D41" s="17" t="s">
        <v>1612</v>
      </c>
      <c r="E41" s="19">
        <v>45975</v>
      </c>
      <c r="F41" s="19">
        <v>47071</v>
      </c>
      <c r="G41" s="4">
        <v>92536</v>
      </c>
      <c r="H41" s="4" t="s">
        <v>1613</v>
      </c>
    </row>
    <row r="42" spans="1:8">
      <c r="A42" s="4" t="s">
        <v>1614</v>
      </c>
      <c r="B42" s="4" t="s">
        <v>1494</v>
      </c>
      <c r="C42" s="4" t="s">
        <v>1594</v>
      </c>
      <c r="D42" s="17" t="s">
        <v>1615</v>
      </c>
      <c r="E42" s="19">
        <v>46034</v>
      </c>
      <c r="F42" s="19">
        <v>47130</v>
      </c>
      <c r="G42" s="4">
        <v>94129</v>
      </c>
      <c r="H42" s="4" t="s">
        <v>761</v>
      </c>
    </row>
    <row r="43" spans="1:8">
      <c r="A43" s="4" t="s">
        <v>1616</v>
      </c>
      <c r="B43" s="4" t="s">
        <v>1548</v>
      </c>
      <c r="C43" s="4" t="s">
        <v>1591</v>
      </c>
      <c r="D43" s="17" t="s">
        <v>1617</v>
      </c>
      <c r="E43" s="19">
        <v>46048</v>
      </c>
      <c r="F43" s="19">
        <v>47139</v>
      </c>
      <c r="G43" s="4">
        <v>94435</v>
      </c>
      <c r="H43" s="4" t="s">
        <v>830</v>
      </c>
    </row>
    <row r="44" spans="1:8">
      <c r="A44" s="4" t="s">
        <v>1618</v>
      </c>
      <c r="B44" s="4" t="s">
        <v>1522</v>
      </c>
      <c r="C44" s="4" t="s">
        <v>1523</v>
      </c>
      <c r="D44" s="17" t="s">
        <v>1619</v>
      </c>
      <c r="E44" s="19">
        <v>46064</v>
      </c>
      <c r="F44" s="19">
        <v>47160</v>
      </c>
      <c r="G44" s="4">
        <v>95022</v>
      </c>
      <c r="H44" s="4" t="s">
        <v>450</v>
      </c>
    </row>
    <row r="45" spans="1:8">
      <c r="A45" s="4" t="s">
        <v>1620</v>
      </c>
      <c r="B45" s="4" t="s">
        <v>1548</v>
      </c>
      <c r="C45" s="4" t="s">
        <v>1549</v>
      </c>
      <c r="D45" s="17" t="s">
        <v>1621</v>
      </c>
      <c r="E45" s="19">
        <v>46077</v>
      </c>
      <c r="F45" s="19">
        <v>47173</v>
      </c>
      <c r="G45" s="4">
        <v>95355</v>
      </c>
      <c r="H45" s="4" t="s">
        <v>1599</v>
      </c>
    </row>
    <row r="46" spans="1:8">
      <c r="A46" s="4" t="s">
        <v>1622</v>
      </c>
      <c r="B46" s="4" t="s">
        <v>1548</v>
      </c>
      <c r="C46" s="4" t="s">
        <v>1549</v>
      </c>
      <c r="D46" s="17" t="s">
        <v>1623</v>
      </c>
      <c r="E46" s="19">
        <v>46077</v>
      </c>
      <c r="F46" s="19">
        <v>47173</v>
      </c>
      <c r="G46" s="4">
        <v>95356</v>
      </c>
      <c r="H46" s="4" t="s">
        <v>1624</v>
      </c>
    </row>
    <row r="47" spans="1:8">
      <c r="A47" s="4" t="s">
        <v>1625</v>
      </c>
      <c r="B47" s="4" t="s">
        <v>1532</v>
      </c>
      <c r="C47" s="4" t="s">
        <v>1533</v>
      </c>
      <c r="D47" s="17" t="s">
        <v>1626</v>
      </c>
      <c r="E47" s="19">
        <v>46111</v>
      </c>
      <c r="F47" s="19">
        <v>47207</v>
      </c>
      <c r="G47" s="4">
        <v>95962</v>
      </c>
      <c r="H47" s="4" t="s">
        <v>386</v>
      </c>
    </row>
    <row r="48" spans="1:8">
      <c r="A48" s="4" t="s">
        <v>1627</v>
      </c>
      <c r="B48" s="4" t="s">
        <v>1494</v>
      </c>
      <c r="C48" s="4" t="s">
        <v>1594</v>
      </c>
      <c r="D48" s="17" t="s">
        <v>1628</v>
      </c>
      <c r="E48" s="19">
        <v>46127</v>
      </c>
      <c r="F48" s="19">
        <v>47221</v>
      </c>
      <c r="G48" s="4">
        <v>96137</v>
      </c>
      <c r="H48" s="4" t="s">
        <v>899</v>
      </c>
    </row>
    <row r="49" spans="1:8">
      <c r="A49" s="4"/>
      <c r="B49" s="4"/>
      <c r="C49" s="4"/>
      <c r="D49" s="17"/>
      <c r="E49" s="19"/>
      <c r="F49" s="19"/>
      <c r="G49" s="4"/>
      <c r="H49" s="4"/>
    </row>
    <row r="50" spans="1:8">
      <c r="A50" s="4"/>
      <c r="B50" s="4"/>
      <c r="C50" s="4"/>
      <c r="D50" s="17"/>
      <c r="E50" s="19"/>
      <c r="F50" s="19"/>
      <c r="G50" s="4"/>
      <c r="H50" s="4"/>
    </row>
    <row r="51" spans="1:8">
      <c r="A51" s="4"/>
      <c r="B51" s="4"/>
      <c r="C51" s="4"/>
      <c r="D51" s="17"/>
      <c r="E51" s="19"/>
      <c r="F51" s="19"/>
      <c r="G51" s="4"/>
      <c r="H51" s="4"/>
    </row>
    <row r="52" spans="1:8">
      <c r="A52" s="4"/>
      <c r="B52" s="4"/>
      <c r="C52" s="4"/>
      <c r="D52" s="17"/>
      <c r="E52" s="19"/>
      <c r="F52" s="19"/>
      <c r="G52" s="4"/>
      <c r="H52" s="4"/>
    </row>
    <row r="53" spans="1:8">
      <c r="A53" s="4"/>
      <c r="B53" s="4"/>
      <c r="C53" s="4"/>
      <c r="D53" s="17"/>
      <c r="E53" s="19"/>
      <c r="F53" s="19"/>
      <c r="G53" s="4"/>
      <c r="H53" s="4"/>
    </row>
    <row r="54" spans="1:8">
      <c r="A54" s="4"/>
      <c r="B54" s="4"/>
      <c r="C54" s="4"/>
      <c r="D54" s="17"/>
      <c r="E54" s="19"/>
      <c r="F54" s="19"/>
      <c r="G54" s="4"/>
      <c r="H54" s="4"/>
    </row>
    <row r="55" spans="1:8">
      <c r="A55" s="4"/>
      <c r="B55" s="4"/>
      <c r="C55" s="4"/>
      <c r="D55" s="17"/>
      <c r="E55" s="4"/>
      <c r="F55" s="19" t="str">
        <f t="shared" ref="F55:F90" si="1">IF(E55="","",E55+365.25*3)</f>
        <v/>
      </c>
      <c r="G55" s="4"/>
      <c r="H55" s="4"/>
    </row>
    <row r="56" spans="1:8">
      <c r="A56" s="66" t="s">
        <v>1629</v>
      </c>
      <c r="B56" s="65">
        <v>50</v>
      </c>
      <c r="C56" s="67"/>
      <c r="D56" s="65"/>
      <c r="E56" s="65"/>
      <c r="F56" s="65"/>
      <c r="G56" s="396">
        <f>+COUNTA(G6:G55)</f>
        <v>43</v>
      </c>
      <c r="H56" s="69"/>
    </row>
    <row r="57" spans="1:8">
      <c r="A57" s="66"/>
      <c r="B57" s="67"/>
      <c r="C57" s="67"/>
      <c r="D57" s="65"/>
      <c r="E57" s="67"/>
      <c r="F57" s="68"/>
      <c r="G57" s="67"/>
      <c r="H57" s="69"/>
    </row>
    <row r="58" spans="1:8">
      <c r="A58" s="73" t="s">
        <v>1630</v>
      </c>
      <c r="B58" s="73" t="s">
        <v>1522</v>
      </c>
      <c r="C58" s="188">
        <v>208</v>
      </c>
      <c r="D58" s="140" t="s">
        <v>1631</v>
      </c>
      <c r="E58" s="74">
        <v>45342</v>
      </c>
      <c r="F58" s="74">
        <f>IF(E58="","",E58+365.25*3)</f>
        <v>46437.75</v>
      </c>
      <c r="G58" s="73">
        <v>79117</v>
      </c>
      <c r="H58" s="102">
        <v>45448</v>
      </c>
    </row>
    <row r="59" spans="1:8">
      <c r="A59" s="73" t="s">
        <v>1632</v>
      </c>
      <c r="B59" s="73" t="s">
        <v>1522</v>
      </c>
      <c r="C59" s="73" t="s">
        <v>1633</v>
      </c>
      <c r="D59" s="140" t="s">
        <v>1634</v>
      </c>
      <c r="E59" s="74">
        <v>45372</v>
      </c>
      <c r="F59" s="74">
        <v>46466</v>
      </c>
      <c r="G59" s="73">
        <v>79770</v>
      </c>
      <c r="H59" s="102">
        <v>45484</v>
      </c>
    </row>
    <row r="60" spans="1:8">
      <c r="A60" s="73" t="s">
        <v>1635</v>
      </c>
      <c r="B60" s="73" t="s">
        <v>1494</v>
      </c>
      <c r="C60" s="73" t="s">
        <v>1636</v>
      </c>
      <c r="D60" s="140" t="s">
        <v>1637</v>
      </c>
      <c r="E60" s="74">
        <v>45471</v>
      </c>
      <c r="F60" s="74">
        <v>46566</v>
      </c>
      <c r="G60" s="73">
        <v>81848</v>
      </c>
      <c r="H60" s="102">
        <v>45484</v>
      </c>
    </row>
    <row r="61" spans="1:8">
      <c r="A61" s="73" t="s">
        <v>1638</v>
      </c>
      <c r="B61" s="73" t="s">
        <v>1494</v>
      </c>
      <c r="C61" s="73" t="s">
        <v>1636</v>
      </c>
      <c r="D61" s="140" t="s">
        <v>1639</v>
      </c>
      <c r="E61" s="74">
        <v>45484</v>
      </c>
      <c r="F61" s="74">
        <v>46579</v>
      </c>
      <c r="G61" s="73">
        <v>82252</v>
      </c>
      <c r="H61" s="102">
        <v>45490</v>
      </c>
    </row>
    <row r="62" spans="1:8">
      <c r="A62" s="73" t="s">
        <v>1640</v>
      </c>
      <c r="B62" s="73" t="s">
        <v>1522</v>
      </c>
      <c r="C62" s="73" t="s">
        <v>1523</v>
      </c>
      <c r="D62" s="140" t="s">
        <v>1641</v>
      </c>
      <c r="E62" s="74">
        <v>45324</v>
      </c>
      <c r="F62" s="74">
        <v>46509</v>
      </c>
      <c r="G62" s="73">
        <v>81122</v>
      </c>
      <c r="H62" s="102">
        <v>45552</v>
      </c>
    </row>
    <row r="63" spans="1:8" ht="13.5" customHeight="1">
      <c r="A63" s="73" t="s">
        <v>1642</v>
      </c>
      <c r="B63" s="73" t="s">
        <v>1643</v>
      </c>
      <c r="C63" s="73" t="s">
        <v>1644</v>
      </c>
      <c r="D63" s="140" t="s">
        <v>1645</v>
      </c>
      <c r="E63" s="74">
        <v>45539</v>
      </c>
      <c r="F63" s="74">
        <v>46634</v>
      </c>
      <c r="G63" s="73">
        <v>83048</v>
      </c>
      <c r="H63" s="102">
        <v>45554</v>
      </c>
    </row>
    <row r="64" spans="1:8">
      <c r="A64" s="73" t="s">
        <v>1646</v>
      </c>
      <c r="B64" s="73" t="s">
        <v>1522</v>
      </c>
      <c r="C64" s="188">
        <v>308</v>
      </c>
      <c r="D64" s="140" t="s">
        <v>1647</v>
      </c>
      <c r="E64" s="74">
        <v>45306</v>
      </c>
      <c r="F64" s="74">
        <f>IF(E64="","",E64+365.25*3)</f>
        <v>46401.75</v>
      </c>
      <c r="G64" s="73">
        <v>78389</v>
      </c>
      <c r="H64" s="102">
        <v>45566</v>
      </c>
    </row>
    <row r="65" spans="1:8">
      <c r="A65" s="73" t="s">
        <v>1648</v>
      </c>
      <c r="B65" s="73" t="s">
        <v>1494</v>
      </c>
      <c r="C65" s="73" t="s">
        <v>1518</v>
      </c>
      <c r="D65" s="140" t="s">
        <v>1649</v>
      </c>
      <c r="E65" s="74">
        <v>45589</v>
      </c>
      <c r="F65" s="74">
        <f>IF(E65="","",E65+365.25*3)</f>
        <v>46684.75</v>
      </c>
      <c r="G65" s="73">
        <v>84196</v>
      </c>
      <c r="H65" s="102">
        <v>45643</v>
      </c>
    </row>
    <row r="66" spans="1:8">
      <c r="A66" s="73" t="s">
        <v>1650</v>
      </c>
      <c r="B66" s="73" t="s">
        <v>1586</v>
      </c>
      <c r="C66" s="73" t="s">
        <v>1651</v>
      </c>
      <c r="D66" s="140" t="s">
        <v>1652</v>
      </c>
      <c r="E66" s="74">
        <v>45314</v>
      </c>
      <c r="F66" s="74">
        <f>IF(E66="","",E66+365.25*3)</f>
        <v>46409.75</v>
      </c>
      <c r="G66" s="73">
        <v>78472</v>
      </c>
      <c r="H66" s="102">
        <v>45644</v>
      </c>
    </row>
    <row r="67" spans="1:8" ht="13.5" customHeight="1">
      <c r="A67" s="231" t="s">
        <v>1653</v>
      </c>
      <c r="B67" s="231" t="s">
        <v>1532</v>
      </c>
      <c r="C67" s="231" t="s">
        <v>1654</v>
      </c>
      <c r="D67" s="232" t="s">
        <v>1655</v>
      </c>
      <c r="E67" s="141">
        <v>45545</v>
      </c>
      <c r="F67" s="141">
        <v>46640</v>
      </c>
      <c r="G67" s="231">
        <v>83191</v>
      </c>
      <c r="H67" s="233">
        <v>45664</v>
      </c>
    </row>
    <row r="68" spans="1:8" ht="13.5" customHeight="1">
      <c r="A68" s="231" t="s">
        <v>1656</v>
      </c>
      <c r="B68" s="231" t="s">
        <v>1522</v>
      </c>
      <c r="C68" s="234">
        <v>2008</v>
      </c>
      <c r="D68" s="232" t="s">
        <v>1657</v>
      </c>
      <c r="E68" s="141">
        <v>45552</v>
      </c>
      <c r="F68" s="141">
        <f>IF(E68="","",E68+365.25*3)</f>
        <v>46647.75</v>
      </c>
      <c r="G68" s="231">
        <v>83316</v>
      </c>
      <c r="H68" s="233">
        <v>45666</v>
      </c>
    </row>
    <row r="69" spans="1:8" ht="13.5" customHeight="1">
      <c r="A69" s="231" t="s">
        <v>1658</v>
      </c>
      <c r="B69" s="231" t="s">
        <v>1522</v>
      </c>
      <c r="C69" s="234">
        <v>2008</v>
      </c>
      <c r="D69" s="232" t="s">
        <v>1659</v>
      </c>
      <c r="E69" s="141">
        <v>45558</v>
      </c>
      <c r="F69" s="141">
        <f>IF(E69="","",E69+365.25*3)</f>
        <v>46653.75</v>
      </c>
      <c r="G69" s="231">
        <v>83484</v>
      </c>
      <c r="H69" s="233">
        <v>45672</v>
      </c>
    </row>
    <row r="70" spans="1:8" ht="13.5" customHeight="1">
      <c r="A70" s="231" t="s">
        <v>1660</v>
      </c>
      <c r="B70" s="231" t="s">
        <v>1494</v>
      </c>
      <c r="C70" s="231" t="s">
        <v>1601</v>
      </c>
      <c r="D70" s="232" t="s">
        <v>1661</v>
      </c>
      <c r="E70" s="141">
        <v>45566</v>
      </c>
      <c r="F70" s="141">
        <f>IF(E70="","",E70+365.25*3)</f>
        <v>46661.75</v>
      </c>
      <c r="G70" s="231">
        <v>83618</v>
      </c>
      <c r="H70" s="233">
        <v>45684</v>
      </c>
    </row>
    <row r="71" spans="1:8" ht="13.5" customHeight="1">
      <c r="A71" s="73" t="s">
        <v>1662</v>
      </c>
      <c r="B71" s="73" t="s">
        <v>1494</v>
      </c>
      <c r="C71" s="73" t="s">
        <v>1636</v>
      </c>
      <c r="D71" s="140" t="s">
        <v>1663</v>
      </c>
      <c r="E71" s="74">
        <v>45490</v>
      </c>
      <c r="F71" s="74">
        <v>46585</v>
      </c>
      <c r="G71" s="73">
        <v>82349</v>
      </c>
      <c r="H71" s="102">
        <v>45783</v>
      </c>
    </row>
    <row r="72" spans="1:8">
      <c r="A72" s="231" t="s">
        <v>1664</v>
      </c>
      <c r="B72" s="231" t="s">
        <v>1568</v>
      </c>
      <c r="C72" s="231" t="s">
        <v>1665</v>
      </c>
      <c r="D72" s="232" t="s">
        <v>1666</v>
      </c>
      <c r="E72" s="141">
        <v>45993</v>
      </c>
      <c r="F72" s="141">
        <v>47088</v>
      </c>
      <c r="G72" s="231">
        <v>92863</v>
      </c>
      <c r="H72" s="233">
        <v>46048</v>
      </c>
    </row>
    <row r="73" spans="1:8">
      <c r="A73" s="66"/>
      <c r="B73" s="67"/>
      <c r="C73" s="67"/>
      <c r="D73" s="65"/>
      <c r="E73" s="67"/>
      <c r="F73" s="68"/>
      <c r="G73" s="67"/>
      <c r="H73" s="69"/>
    </row>
    <row r="74" spans="1:8">
      <c r="A74" s="66"/>
      <c r="B74" s="4"/>
      <c r="C74" s="4"/>
      <c r="D74" s="17"/>
      <c r="E74" s="67"/>
      <c r="F74" s="68"/>
      <c r="G74" s="67"/>
      <c r="H74" s="69"/>
    </row>
    <row r="75" spans="1:8">
      <c r="A75" s="66"/>
      <c r="B75" s="67"/>
      <c r="C75" s="67"/>
      <c r="D75" s="65"/>
      <c r="E75" s="67"/>
      <c r="F75" s="68"/>
      <c r="G75" s="67"/>
      <c r="H75" s="69"/>
    </row>
    <row r="76" spans="1:8">
      <c r="A76" s="66"/>
      <c r="B76" s="67"/>
      <c r="C76" s="67"/>
      <c r="D76" s="65"/>
      <c r="E76" s="67"/>
      <c r="F76" s="68"/>
      <c r="G76" s="67"/>
      <c r="H76" s="69"/>
    </row>
    <row r="77" spans="1:8">
      <c r="A77" s="66"/>
      <c r="B77" s="67"/>
      <c r="C77" s="67"/>
      <c r="D77" s="65"/>
      <c r="E77" s="67"/>
      <c r="F77" s="68"/>
      <c r="G77" s="67"/>
      <c r="H77" s="69"/>
    </row>
    <row r="78" spans="1:8">
      <c r="A78" s="66"/>
      <c r="B78" s="67"/>
      <c r="C78" s="67"/>
      <c r="D78" s="65"/>
      <c r="E78" s="67"/>
      <c r="F78" s="68"/>
      <c r="G78" s="67"/>
      <c r="H78" s="69"/>
    </row>
    <row r="79" spans="1:8">
      <c r="A79" s="66"/>
      <c r="B79" s="67"/>
      <c r="C79" s="67"/>
      <c r="D79" s="65"/>
      <c r="E79" s="67"/>
      <c r="F79" s="68"/>
      <c r="G79" s="67"/>
      <c r="H79" s="69"/>
    </row>
    <row r="80" spans="1:8">
      <c r="A80" s="66"/>
      <c r="B80" s="67"/>
      <c r="C80" s="67"/>
      <c r="D80" s="65"/>
      <c r="E80" s="67"/>
      <c r="F80" s="68"/>
      <c r="G80" s="67"/>
      <c r="H80" s="69"/>
    </row>
    <row r="81" spans="1:8">
      <c r="A81" s="66"/>
      <c r="B81" s="67"/>
      <c r="C81" s="67"/>
      <c r="D81" s="65"/>
      <c r="E81" s="67"/>
      <c r="F81" s="68"/>
      <c r="G81" s="67"/>
      <c r="H81" s="69"/>
    </row>
    <row r="82" spans="1:8" ht="57.6" customHeight="1">
      <c r="A82" s="436" t="e" vm="2">
        <v>#VALUE!</v>
      </c>
      <c r="B82" s="437"/>
      <c r="C82" s="437"/>
      <c r="D82" s="437"/>
      <c r="E82" s="437"/>
      <c r="F82" s="437"/>
      <c r="G82" s="437"/>
      <c r="H82" s="438"/>
    </row>
    <row r="83" spans="1:8">
      <c r="A83" s="4"/>
      <c r="B83" s="4" t="s">
        <v>1532</v>
      </c>
      <c r="C83" s="4"/>
      <c r="D83" s="60" t="s">
        <v>1667</v>
      </c>
      <c r="E83" s="59"/>
      <c r="F83" s="19" t="str">
        <f t="shared" ref="F83:F89" si="2">IF(E83="","",E83+365.25*3)</f>
        <v/>
      </c>
      <c r="G83" s="4"/>
      <c r="H83" s="4"/>
    </row>
    <row r="84" spans="1:8">
      <c r="A84" s="4"/>
      <c r="B84" s="4" t="s">
        <v>1522</v>
      </c>
      <c r="C84" s="4"/>
      <c r="D84" s="60" t="s">
        <v>1668</v>
      </c>
      <c r="E84" s="59"/>
      <c r="F84" s="19" t="str">
        <f t="shared" si="2"/>
        <v/>
      </c>
      <c r="G84" s="4"/>
      <c r="H84" s="4"/>
    </row>
    <row r="85" spans="1:8">
      <c r="A85" s="4"/>
      <c r="B85" s="4" t="s">
        <v>1532</v>
      </c>
      <c r="C85" s="4"/>
      <c r="D85" s="60" t="s">
        <v>1669</v>
      </c>
      <c r="E85" s="59"/>
      <c r="F85" s="19" t="str">
        <f t="shared" si="2"/>
        <v/>
      </c>
      <c r="G85" s="4"/>
      <c r="H85" s="4"/>
    </row>
    <row r="86" spans="1:8">
      <c r="A86" s="4"/>
      <c r="B86" s="4" t="s">
        <v>1532</v>
      </c>
      <c r="C86" s="4"/>
      <c r="D86" s="60" t="s">
        <v>1670</v>
      </c>
      <c r="E86" s="59"/>
      <c r="F86" s="19" t="str">
        <f t="shared" si="2"/>
        <v/>
      </c>
      <c r="G86" s="4"/>
      <c r="H86" s="4"/>
    </row>
    <row r="87" spans="1:8">
      <c r="A87" s="4"/>
      <c r="B87" s="4" t="s">
        <v>1532</v>
      </c>
      <c r="C87" s="4"/>
      <c r="D87" s="60" t="s">
        <v>1671</v>
      </c>
      <c r="E87" s="59"/>
      <c r="F87" s="19" t="str">
        <f t="shared" si="2"/>
        <v/>
      </c>
      <c r="G87" s="4"/>
      <c r="H87" s="4"/>
    </row>
    <row r="88" spans="1:8">
      <c r="A88" s="4"/>
      <c r="B88" s="4" t="s">
        <v>1522</v>
      </c>
      <c r="C88" s="4"/>
      <c r="D88" s="60" t="s">
        <v>1672</v>
      </c>
      <c r="E88" s="59"/>
      <c r="F88" s="19" t="str">
        <f t="shared" si="2"/>
        <v/>
      </c>
      <c r="G88" s="4"/>
      <c r="H88" s="4"/>
    </row>
    <row r="89" spans="1:8">
      <c r="A89" s="4"/>
      <c r="B89" s="4" t="s">
        <v>1494</v>
      </c>
      <c r="C89" s="4"/>
      <c r="D89" s="60" t="s">
        <v>1673</v>
      </c>
      <c r="E89" s="59"/>
      <c r="F89" s="19" t="str">
        <f t="shared" si="2"/>
        <v/>
      </c>
      <c r="G89" s="4"/>
      <c r="H89" s="4"/>
    </row>
    <row r="90" spans="1:8">
      <c r="A90" s="4"/>
      <c r="B90" s="4"/>
      <c r="C90" s="4"/>
      <c r="D90" s="17"/>
      <c r="E90" s="4"/>
      <c r="F90" s="19" t="str">
        <f t="shared" si="1"/>
        <v/>
      </c>
      <c r="G90" s="4"/>
      <c r="H90" s="4"/>
    </row>
    <row r="91" spans="1:8">
      <c r="A91" s="4"/>
      <c r="B91" s="4"/>
      <c r="C91" s="4"/>
      <c r="D91" s="17"/>
      <c r="E91" s="4"/>
      <c r="F91" s="4"/>
      <c r="G91" s="4"/>
      <c r="H91" s="4"/>
    </row>
    <row r="92" spans="1:8" ht="45.6" customHeight="1">
      <c r="A92" s="439" t="e" vm="3">
        <v>#VALUE!</v>
      </c>
      <c r="B92" s="440"/>
      <c r="C92" s="440"/>
      <c r="D92" s="440"/>
      <c r="E92" s="440"/>
      <c r="F92" s="440"/>
      <c r="G92" s="440"/>
      <c r="H92" s="441"/>
    </row>
    <row r="93" spans="1:8">
      <c r="A93" s="4"/>
      <c r="B93" s="4" t="s">
        <v>1494</v>
      </c>
      <c r="C93" s="4"/>
      <c r="D93" s="17" t="s">
        <v>1674</v>
      </c>
      <c r="E93" s="4"/>
      <c r="F93" s="4"/>
      <c r="G93" s="4"/>
      <c r="H93" s="4"/>
    </row>
    <row r="94" spans="1:8">
      <c r="A94" s="4"/>
      <c r="B94" s="4" t="s">
        <v>1586</v>
      </c>
      <c r="C94" s="4"/>
      <c r="D94" s="17" t="s">
        <v>1675</v>
      </c>
      <c r="E94" s="4"/>
      <c r="F94" s="4"/>
      <c r="G94" s="4"/>
      <c r="H94" s="4"/>
    </row>
    <row r="95" spans="1:8">
      <c r="A95" s="4"/>
      <c r="B95" s="4" t="s">
        <v>1494</v>
      </c>
      <c r="C95" s="4"/>
      <c r="D95" s="17" t="s">
        <v>1676</v>
      </c>
      <c r="E95" s="4"/>
      <c r="F95" s="4"/>
      <c r="G95" s="4"/>
      <c r="H95" s="4"/>
    </row>
    <row r="96" spans="1:8">
      <c r="A96" s="4"/>
      <c r="B96" s="4" t="s">
        <v>1522</v>
      </c>
      <c r="C96" s="4"/>
      <c r="D96" s="17" t="s">
        <v>1677</v>
      </c>
      <c r="E96" s="4"/>
      <c r="F96" s="4"/>
      <c r="G96" s="4"/>
      <c r="H96" s="4"/>
    </row>
    <row r="97" spans="1:8">
      <c r="A97" s="4"/>
      <c r="B97" s="4" t="s">
        <v>1586</v>
      </c>
      <c r="C97" s="4"/>
      <c r="D97" s="17" t="s">
        <v>1678</v>
      </c>
      <c r="E97" s="4"/>
      <c r="F97" s="4"/>
      <c r="G97" s="4"/>
      <c r="H97" s="4"/>
    </row>
    <row r="98" spans="1:8">
      <c r="A98" s="4"/>
      <c r="B98" s="4" t="s">
        <v>1494</v>
      </c>
      <c r="C98" s="4"/>
      <c r="D98" s="17" t="s">
        <v>1679</v>
      </c>
      <c r="E98" s="4"/>
      <c r="F98" s="4"/>
      <c r="G98" s="4"/>
      <c r="H98" s="4"/>
    </row>
    <row r="99" spans="1:8">
      <c r="A99" s="4"/>
      <c r="B99" s="4" t="s">
        <v>1586</v>
      </c>
      <c r="C99" s="4"/>
      <c r="D99" s="17" t="s">
        <v>1680</v>
      </c>
      <c r="E99" s="4"/>
      <c r="F99" s="4"/>
      <c r="G99" s="4"/>
      <c r="H99" s="4"/>
    </row>
  </sheetData>
  <autoFilter ref="A5:H48" xr:uid="{F60EC02C-1AC7-4D56-A847-B43F4F77283D}">
    <filterColumn colId="1">
      <filters>
        <filter val="Fiat"/>
      </filters>
    </filterColumn>
    <sortState xmlns:xlrd2="http://schemas.microsoft.com/office/spreadsheetml/2017/richdata2" ref="A6:H46">
      <sortCondition ref="F5"/>
    </sortState>
  </autoFilter>
  <sortState xmlns:xlrd2="http://schemas.microsoft.com/office/spreadsheetml/2017/richdata2" ref="A8:XFD20">
    <sortCondition ref="A8:A20"/>
  </sortState>
  <mergeCells count="3">
    <mergeCell ref="A1:H1"/>
    <mergeCell ref="A82:H82"/>
    <mergeCell ref="A92:H92"/>
  </mergeCells>
  <pageMargins left="0.7" right="0.7" top="0.75" bottom="0.75" header="0.3" footer="0.3"/>
  <pageSetup paperSize="9" scale="72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D51FA-D98B-4F1D-99B4-3FF6C6F1625B}">
  <sheetPr>
    <pageSetUpPr fitToPage="1"/>
  </sheetPr>
  <dimension ref="A1:O129"/>
  <sheetViews>
    <sheetView zoomScale="85" zoomScaleNormal="85" workbookViewId="0">
      <selection activeCell="J31" sqref="J31"/>
    </sheetView>
  </sheetViews>
  <sheetFormatPr defaultColWidth="11.42578125" defaultRowHeight="15"/>
  <cols>
    <col min="1" max="1" width="12.140625" customWidth="1"/>
    <col min="2" max="2" width="24" customWidth="1"/>
    <col min="3" max="3" width="18.28515625" bestFit="1" customWidth="1"/>
    <col min="4" max="4" width="38.42578125" customWidth="1"/>
    <col min="5" max="5" width="18.28515625" style="113" bestFit="1" customWidth="1"/>
    <col min="6" max="7" width="11.42578125" customWidth="1"/>
    <col min="8" max="8" width="12.140625" customWidth="1"/>
    <col min="9" max="9" width="11.42578125" customWidth="1"/>
    <col min="10" max="10" width="16.28515625" bestFit="1" customWidth="1"/>
    <col min="11" max="11" width="12.42578125" customWidth="1"/>
    <col min="12" max="12" width="17.5703125" customWidth="1"/>
    <col min="13" max="13" width="11.42578125" style="18" customWidth="1"/>
    <col min="14" max="14" width="12" style="18" customWidth="1"/>
    <col min="15" max="15" width="14" customWidth="1"/>
  </cols>
  <sheetData>
    <row r="1" spans="1:15" ht="18.75">
      <c r="A1" s="435" t="s">
        <v>1681</v>
      </c>
      <c r="B1" s="435"/>
      <c r="C1" s="435"/>
      <c r="D1" s="435"/>
      <c r="E1" s="435"/>
      <c r="F1" s="435"/>
      <c r="G1" s="435"/>
      <c r="H1" s="435"/>
      <c r="I1" s="120"/>
      <c r="J1" s="120"/>
    </row>
    <row r="2" spans="1:15" ht="26.1" customHeight="1">
      <c r="B2" t="e" vm="1">
        <v>#VALUE!</v>
      </c>
    </row>
    <row r="3" spans="1:15">
      <c r="A3" s="6" t="s">
        <v>17</v>
      </c>
      <c r="B3" s="6" t="s">
        <v>18</v>
      </c>
      <c r="C3" s="6"/>
    </row>
    <row r="4" spans="1:15">
      <c r="B4" s="43">
        <f ca="1">TODAY()</f>
        <v>46142</v>
      </c>
    </row>
    <row r="5" spans="1:15" s="113" customFormat="1" ht="41.25" customHeight="1">
      <c r="A5" s="125" t="s">
        <v>1682</v>
      </c>
      <c r="B5" s="114" t="s">
        <v>29</v>
      </c>
      <c r="C5" s="114" t="s">
        <v>1683</v>
      </c>
      <c r="D5" s="114" t="s">
        <v>34</v>
      </c>
      <c r="E5" s="114"/>
      <c r="F5" s="183" t="s">
        <v>1684</v>
      </c>
      <c r="G5" s="183" t="s">
        <v>1685</v>
      </c>
      <c r="H5" s="184" t="s">
        <v>1686</v>
      </c>
      <c r="I5" s="184" t="s">
        <v>1687</v>
      </c>
      <c r="J5" s="184"/>
      <c r="K5" s="185" t="s">
        <v>1688</v>
      </c>
      <c r="L5" s="184" t="s">
        <v>1689</v>
      </c>
      <c r="M5" s="186" t="s">
        <v>1690</v>
      </c>
      <c r="N5" s="187" t="s">
        <v>1691</v>
      </c>
      <c r="O5" s="113" t="s">
        <v>1692</v>
      </c>
    </row>
    <row r="6" spans="1:15" ht="18.75">
      <c r="A6" s="26"/>
      <c r="B6" s="118" t="s">
        <v>1693</v>
      </c>
      <c r="C6" s="26"/>
      <c r="D6" s="26"/>
      <c r="E6" s="115"/>
      <c r="F6" s="26"/>
      <c r="G6" s="26"/>
      <c r="H6" s="26"/>
      <c r="I6" s="26"/>
      <c r="J6" s="26"/>
      <c r="K6" s="26"/>
      <c r="L6" s="26"/>
      <c r="M6" s="27">
        <v>150</v>
      </c>
      <c r="N6" s="27">
        <v>30</v>
      </c>
    </row>
    <row r="7" spans="1:15">
      <c r="A7" s="32" t="s">
        <v>1694</v>
      </c>
      <c r="B7" s="32" t="s">
        <v>1695</v>
      </c>
      <c r="C7" s="9" t="s">
        <v>1696</v>
      </c>
      <c r="D7" s="29" t="s">
        <v>1697</v>
      </c>
      <c r="E7" s="207" t="s">
        <v>1698</v>
      </c>
      <c r="F7" s="10"/>
      <c r="G7" s="10"/>
      <c r="H7" s="30">
        <v>45300</v>
      </c>
      <c r="I7" s="30">
        <v>47522</v>
      </c>
      <c r="J7" s="129" t="s">
        <v>1699</v>
      </c>
      <c r="K7" s="9"/>
      <c r="L7" s="9"/>
      <c r="M7" s="25">
        <v>24</v>
      </c>
      <c r="N7" s="25">
        <v>4</v>
      </c>
    </row>
    <row r="8" spans="1:15">
      <c r="A8" s="106" t="s">
        <v>1700</v>
      </c>
      <c r="B8" s="33" t="s">
        <v>1701</v>
      </c>
      <c r="C8" s="4"/>
      <c r="D8" s="80"/>
      <c r="E8" s="116"/>
      <c r="F8" s="77"/>
      <c r="G8" s="19">
        <v>45470</v>
      </c>
      <c r="H8" s="19">
        <v>45471</v>
      </c>
      <c r="I8" s="19">
        <v>47003</v>
      </c>
      <c r="J8" s="4"/>
      <c r="K8" s="61"/>
      <c r="L8" s="33" t="s">
        <v>1702</v>
      </c>
      <c r="M8" s="17">
        <v>150</v>
      </c>
      <c r="N8" s="17">
        <v>80</v>
      </c>
    </row>
    <row r="9" spans="1:15">
      <c r="A9" s="58" t="s">
        <v>1703</v>
      </c>
      <c r="B9" s="58" t="s">
        <v>1704</v>
      </c>
      <c r="C9" s="4" t="s">
        <v>1705</v>
      </c>
      <c r="D9" s="80" t="s">
        <v>1706</v>
      </c>
      <c r="E9" s="116" t="s">
        <v>1707</v>
      </c>
      <c r="F9" s="4"/>
      <c r="G9" s="4"/>
      <c r="H9" s="4"/>
      <c r="I9" s="19">
        <v>47058</v>
      </c>
      <c r="J9" s="4"/>
      <c r="K9" s="4"/>
      <c r="L9" s="33" t="s">
        <v>1708</v>
      </c>
      <c r="M9" s="17">
        <v>100</v>
      </c>
      <c r="N9" s="17">
        <v>4</v>
      </c>
    </row>
    <row r="10" spans="1:15">
      <c r="A10" s="32" t="s">
        <v>1709</v>
      </c>
      <c r="B10" s="32" t="s">
        <v>1710</v>
      </c>
      <c r="C10" s="9" t="s">
        <v>1711</v>
      </c>
      <c r="D10" s="117" t="s">
        <v>1712</v>
      </c>
      <c r="E10" s="190" t="s">
        <v>1713</v>
      </c>
      <c r="F10" s="10"/>
      <c r="G10" s="10"/>
      <c r="H10" s="30">
        <v>45323</v>
      </c>
      <c r="I10" s="30">
        <v>47522</v>
      </c>
      <c r="J10" s="30"/>
      <c r="K10" s="9"/>
      <c r="L10" s="32" t="s">
        <v>1714</v>
      </c>
      <c r="M10" s="25">
        <v>4</v>
      </c>
      <c r="N10" s="25">
        <v>2</v>
      </c>
    </row>
    <row r="11" spans="1:15">
      <c r="A11" s="33" t="s">
        <v>1715</v>
      </c>
      <c r="B11" s="32" t="s">
        <v>1716</v>
      </c>
      <c r="C11" s="9" t="s">
        <v>1717</v>
      </c>
      <c r="D11" s="117" t="s">
        <v>1718</v>
      </c>
      <c r="E11" s="192" t="s">
        <v>1719</v>
      </c>
      <c r="F11" s="9"/>
      <c r="G11" s="30">
        <v>45979</v>
      </c>
      <c r="H11" s="30"/>
      <c r="I11" s="263">
        <v>46387</v>
      </c>
      <c r="J11" s="4"/>
      <c r="K11" s="9"/>
      <c r="L11" s="32" t="s">
        <v>1720</v>
      </c>
      <c r="M11" s="25">
        <v>4</v>
      </c>
      <c r="N11" s="25">
        <v>4</v>
      </c>
    </row>
    <row r="12" spans="1:15">
      <c r="A12" s="33" t="s">
        <v>1721</v>
      </c>
      <c r="B12" s="33" t="s">
        <v>1722</v>
      </c>
      <c r="C12" s="4" t="s">
        <v>1723</v>
      </c>
      <c r="D12" s="80" t="s">
        <v>1724</v>
      </c>
      <c r="E12" s="116" t="s">
        <v>1725</v>
      </c>
      <c r="F12" s="77"/>
      <c r="G12" s="19"/>
      <c r="H12" s="19"/>
      <c r="I12" s="19">
        <v>46699</v>
      </c>
      <c r="J12" s="19"/>
      <c r="K12" s="61"/>
      <c r="L12" s="33" t="s">
        <v>1726</v>
      </c>
      <c r="M12" s="17">
        <v>16</v>
      </c>
      <c r="N12" s="17">
        <v>16</v>
      </c>
    </row>
    <row r="13" spans="1:15">
      <c r="A13" s="33" t="s">
        <v>1727</v>
      </c>
      <c r="B13" s="33" t="s">
        <v>1728</v>
      </c>
      <c r="C13" s="4" t="s">
        <v>1729</v>
      </c>
      <c r="D13" s="80" t="s">
        <v>1730</v>
      </c>
      <c r="E13" s="116" t="s">
        <v>1731</v>
      </c>
      <c r="F13" s="77"/>
      <c r="G13" s="19">
        <v>45952</v>
      </c>
      <c r="H13" s="19">
        <v>45933</v>
      </c>
      <c r="I13" s="19">
        <v>46387</v>
      </c>
      <c r="J13" s="4"/>
      <c r="K13" s="4"/>
      <c r="L13" s="53"/>
      <c r="M13" s="17">
        <v>1</v>
      </c>
      <c r="N13" s="17">
        <v>0</v>
      </c>
    </row>
    <row r="14" spans="1:15">
      <c r="A14" s="33" t="s">
        <v>1732</v>
      </c>
      <c r="B14" s="33" t="s">
        <v>1733</v>
      </c>
      <c r="C14" s="4" t="s">
        <v>1734</v>
      </c>
      <c r="D14" s="80" t="s">
        <v>1735</v>
      </c>
      <c r="E14" s="116" t="s">
        <v>1736</v>
      </c>
      <c r="F14" s="77"/>
      <c r="G14" s="19">
        <v>45568</v>
      </c>
      <c r="H14" s="19">
        <v>45572</v>
      </c>
      <c r="I14" s="19">
        <v>46752</v>
      </c>
      <c r="J14" s="4"/>
      <c r="K14" s="61"/>
      <c r="L14" s="33" t="s">
        <v>1737</v>
      </c>
      <c r="M14" s="17">
        <v>2</v>
      </c>
      <c r="N14" s="17">
        <v>2</v>
      </c>
    </row>
    <row r="15" spans="1:15">
      <c r="A15" s="33" t="s">
        <v>1738</v>
      </c>
      <c r="B15" s="33" t="s">
        <v>1739</v>
      </c>
      <c r="C15" s="4" t="s">
        <v>1740</v>
      </c>
      <c r="D15" s="80" t="s">
        <v>1741</v>
      </c>
      <c r="E15" s="116" t="s">
        <v>1742</v>
      </c>
      <c r="F15" s="4"/>
      <c r="G15" s="4"/>
      <c r="H15" s="30">
        <v>45345</v>
      </c>
      <c r="I15" s="30">
        <v>47522</v>
      </c>
      <c r="J15" s="30"/>
      <c r="K15" s="4"/>
      <c r="L15" s="4"/>
      <c r="M15" s="17">
        <v>4</v>
      </c>
      <c r="N15" s="17">
        <v>1</v>
      </c>
    </row>
    <row r="16" spans="1:15">
      <c r="A16" s="33" t="s">
        <v>1743</v>
      </c>
      <c r="B16" s="33" t="s">
        <v>1744</v>
      </c>
      <c r="C16" s="4" t="s">
        <v>1745</v>
      </c>
      <c r="D16" s="5" t="s">
        <v>1746</v>
      </c>
      <c r="E16" s="191" t="s">
        <v>1747</v>
      </c>
      <c r="F16" s="8"/>
      <c r="G16" s="8"/>
      <c r="H16" s="30">
        <v>45267</v>
      </c>
      <c r="I16" s="30">
        <v>47522</v>
      </c>
      <c r="J16" s="30"/>
      <c r="K16" s="4"/>
      <c r="L16" s="32" t="s">
        <v>1714</v>
      </c>
      <c r="M16" s="17">
        <v>15</v>
      </c>
      <c r="N16" s="17">
        <v>15</v>
      </c>
    </row>
    <row r="17" spans="1:15">
      <c r="A17" s="53" t="s">
        <v>1748</v>
      </c>
      <c r="B17" s="33" t="s">
        <v>1749</v>
      </c>
      <c r="C17" s="4"/>
      <c r="D17" s="80"/>
      <c r="E17" s="116"/>
      <c r="F17" s="77"/>
      <c r="G17" s="19">
        <v>45595</v>
      </c>
      <c r="H17" s="19">
        <v>45596</v>
      </c>
      <c r="I17" s="19">
        <v>46758</v>
      </c>
      <c r="J17" s="4"/>
      <c r="K17" s="19">
        <v>45820</v>
      </c>
      <c r="L17" s="53"/>
      <c r="M17" s="17">
        <v>5</v>
      </c>
      <c r="N17" s="17">
        <v>5</v>
      </c>
    </row>
    <row r="18" spans="1:15">
      <c r="A18" s="53" t="s">
        <v>1750</v>
      </c>
      <c r="B18" s="33" t="s">
        <v>1751</v>
      </c>
      <c r="C18" s="4" t="s">
        <v>1752</v>
      </c>
      <c r="D18" s="80" t="s">
        <v>1753</v>
      </c>
      <c r="E18" s="116" t="s">
        <v>1754</v>
      </c>
      <c r="F18" s="77"/>
      <c r="G18" s="19">
        <v>45937</v>
      </c>
      <c r="H18" s="19">
        <v>45940</v>
      </c>
      <c r="I18" s="19">
        <v>46303</v>
      </c>
      <c r="J18" s="4"/>
      <c r="K18" s="4"/>
      <c r="L18" s="53"/>
      <c r="M18" s="17">
        <v>10</v>
      </c>
      <c r="N18" s="17">
        <v>0</v>
      </c>
    </row>
    <row r="19" spans="1:15">
      <c r="A19" s="33" t="s">
        <v>1755</v>
      </c>
      <c r="B19" s="33" t="s">
        <v>1756</v>
      </c>
      <c r="C19" s="4" t="s">
        <v>1757</v>
      </c>
      <c r="D19" s="80" t="s">
        <v>1758</v>
      </c>
      <c r="E19" s="116" t="s">
        <v>1759</v>
      </c>
      <c r="F19" s="77"/>
      <c r="G19" s="19"/>
      <c r="H19" s="30">
        <v>45386</v>
      </c>
      <c r="I19" s="30">
        <v>46752</v>
      </c>
      <c r="J19" s="30"/>
      <c r="L19" s="33" t="s">
        <v>1760</v>
      </c>
      <c r="M19" s="17">
        <v>4</v>
      </c>
      <c r="N19" s="17">
        <v>2</v>
      </c>
      <c r="O19" s="43">
        <v>45776</v>
      </c>
    </row>
    <row r="20" spans="1:15">
      <c r="A20" s="33" t="s">
        <v>1761</v>
      </c>
      <c r="B20" s="33" t="s">
        <v>1762</v>
      </c>
      <c r="C20" s="4" t="s">
        <v>1763</v>
      </c>
      <c r="D20" s="80" t="s">
        <v>1764</v>
      </c>
      <c r="E20" s="116" t="s">
        <v>1765</v>
      </c>
      <c r="F20" s="77"/>
      <c r="G20" s="19">
        <v>45441</v>
      </c>
      <c r="H20" s="19">
        <v>45442</v>
      </c>
      <c r="I20" s="19">
        <v>47522</v>
      </c>
      <c r="J20" s="19"/>
      <c r="K20" s="19"/>
      <c r="L20" s="33" t="s">
        <v>1760</v>
      </c>
      <c r="M20" s="17">
        <v>20</v>
      </c>
      <c r="N20" s="17">
        <v>10</v>
      </c>
    </row>
    <row r="21" spans="1:15">
      <c r="A21" s="33" t="s">
        <v>1766</v>
      </c>
      <c r="B21" s="33" t="s">
        <v>1767</v>
      </c>
      <c r="C21" s="4" t="s">
        <v>1768</v>
      </c>
      <c r="D21" s="80" t="s">
        <v>1769</v>
      </c>
      <c r="E21" s="116" t="s">
        <v>1770</v>
      </c>
      <c r="F21" s="77"/>
      <c r="G21" s="4"/>
      <c r="H21" s="19">
        <v>45351</v>
      </c>
      <c r="I21" s="19">
        <v>47522</v>
      </c>
      <c r="J21" s="4"/>
      <c r="K21" s="4"/>
      <c r="L21" s="32" t="s">
        <v>1714</v>
      </c>
      <c r="M21" s="17">
        <v>5</v>
      </c>
      <c r="N21" s="17">
        <v>5</v>
      </c>
      <c r="O21" s="43">
        <v>45776</v>
      </c>
    </row>
    <row r="22" spans="1:15">
      <c r="A22" s="33" t="s">
        <v>1771</v>
      </c>
      <c r="B22" s="33" t="s">
        <v>1772</v>
      </c>
      <c r="C22" s="4" t="s">
        <v>1773</v>
      </c>
      <c r="D22" s="80" t="s">
        <v>1774</v>
      </c>
      <c r="E22" s="116" t="s">
        <v>1775</v>
      </c>
      <c r="F22" s="77"/>
      <c r="G22" s="19">
        <v>45558</v>
      </c>
      <c r="H22" s="19">
        <v>45559</v>
      </c>
      <c r="I22" s="19">
        <v>46752</v>
      </c>
      <c r="J22" s="4"/>
      <c r="K22" s="61"/>
      <c r="L22" s="33" t="s">
        <v>1776</v>
      </c>
      <c r="M22" s="17">
        <v>40</v>
      </c>
      <c r="N22" s="17">
        <v>4</v>
      </c>
    </row>
    <row r="23" spans="1:15">
      <c r="A23" s="33" t="s">
        <v>1777</v>
      </c>
      <c r="B23" s="33" t="s">
        <v>1778</v>
      </c>
      <c r="C23" s="4" t="s">
        <v>1779</v>
      </c>
      <c r="D23" s="80" t="s">
        <v>1780</v>
      </c>
      <c r="E23" s="116" t="s">
        <v>1781</v>
      </c>
      <c r="F23" s="77"/>
      <c r="G23" s="19">
        <v>45554</v>
      </c>
      <c r="H23" s="19">
        <v>45558</v>
      </c>
      <c r="I23" s="19">
        <v>46752</v>
      </c>
      <c r="J23" s="4"/>
      <c r="K23" s="19"/>
      <c r="L23" s="33" t="s">
        <v>1782</v>
      </c>
      <c r="M23" s="17">
        <v>13</v>
      </c>
      <c r="N23" s="17">
        <v>13</v>
      </c>
    </row>
    <row r="24" spans="1:15">
      <c r="A24" s="33" t="s">
        <v>1783</v>
      </c>
      <c r="B24" s="33" t="s">
        <v>1784</v>
      </c>
      <c r="C24" s="4" t="s">
        <v>1785</v>
      </c>
      <c r="D24" s="80" t="s">
        <v>1786</v>
      </c>
      <c r="E24" s="116" t="s">
        <v>1787</v>
      </c>
      <c r="F24" s="77"/>
      <c r="G24" s="19">
        <v>45926</v>
      </c>
      <c r="H24" s="19">
        <v>45929</v>
      </c>
      <c r="I24" s="19">
        <v>46801</v>
      </c>
      <c r="J24" s="4"/>
      <c r="K24" s="19"/>
      <c r="L24" s="33" t="s">
        <v>1788</v>
      </c>
      <c r="M24" s="17">
        <v>3</v>
      </c>
      <c r="N24" s="17">
        <v>3</v>
      </c>
    </row>
    <row r="25" spans="1:15">
      <c r="A25" s="78" t="s">
        <v>1789</v>
      </c>
      <c r="B25" s="155" t="s">
        <v>1790</v>
      </c>
      <c r="C25" s="4" t="s">
        <v>1791</v>
      </c>
      <c r="D25" s="80" t="s">
        <v>1792</v>
      </c>
      <c r="E25" s="116" t="s">
        <v>1793</v>
      </c>
      <c r="F25" s="4"/>
      <c r="G25" s="4"/>
      <c r="H25" s="19">
        <v>45281</v>
      </c>
      <c r="I25" s="19">
        <v>47522</v>
      </c>
      <c r="J25" s="107" t="s">
        <v>1794</v>
      </c>
      <c r="K25" s="19"/>
      <c r="L25" s="33" t="s">
        <v>1795</v>
      </c>
      <c r="M25" s="17">
        <v>30</v>
      </c>
      <c r="N25" s="17">
        <v>30</v>
      </c>
    </row>
    <row r="26" spans="1:15">
      <c r="A26" s="33" t="s">
        <v>1796</v>
      </c>
      <c r="B26" s="33" t="s">
        <v>1797</v>
      </c>
      <c r="C26" s="4" t="s">
        <v>1798</v>
      </c>
      <c r="D26" s="80" t="s">
        <v>1799</v>
      </c>
      <c r="E26" s="116" t="s">
        <v>1800</v>
      </c>
      <c r="F26" s="77"/>
      <c r="G26" s="19">
        <v>45442</v>
      </c>
      <c r="H26" s="19">
        <v>45447</v>
      </c>
      <c r="I26" s="19">
        <v>47522</v>
      </c>
      <c r="J26" s="19"/>
      <c r="K26" s="19"/>
      <c r="L26" s="33" t="s">
        <v>1801</v>
      </c>
      <c r="M26" s="17">
        <v>5</v>
      </c>
      <c r="N26" s="17">
        <v>3</v>
      </c>
      <c r="O26" s="43">
        <v>45776</v>
      </c>
    </row>
    <row r="27" spans="1:15">
      <c r="A27" s="53" t="s">
        <v>1802</v>
      </c>
      <c r="B27" s="33" t="s">
        <v>1803</v>
      </c>
      <c r="C27" s="4" t="s">
        <v>1804</v>
      </c>
      <c r="D27" s="80" t="s">
        <v>1805</v>
      </c>
      <c r="E27" s="116" t="s">
        <v>1806</v>
      </c>
      <c r="F27" s="8"/>
      <c r="G27" s="8"/>
      <c r="H27" s="19">
        <v>45344</v>
      </c>
      <c r="I27" s="19">
        <v>47522</v>
      </c>
      <c r="J27" s="70" t="s">
        <v>1699</v>
      </c>
      <c r="K27" s="4"/>
      <c r="L27" s="4"/>
      <c r="M27" s="17">
        <v>40</v>
      </c>
      <c r="N27" s="17">
        <v>2</v>
      </c>
    </row>
    <row r="28" spans="1:15">
      <c r="A28" s="33" t="s">
        <v>1807</v>
      </c>
      <c r="B28" s="33" t="s">
        <v>1808</v>
      </c>
      <c r="C28" s="4" t="s">
        <v>1809</v>
      </c>
      <c r="D28" s="80" t="s">
        <v>1810</v>
      </c>
      <c r="E28" s="116" t="s">
        <v>1811</v>
      </c>
      <c r="F28" s="77"/>
      <c r="G28" s="19">
        <v>45554</v>
      </c>
      <c r="H28" s="4"/>
      <c r="I28" s="19">
        <v>46538</v>
      </c>
      <c r="J28" s="4"/>
      <c r="K28" s="61"/>
      <c r="L28" s="33" t="s">
        <v>1812</v>
      </c>
      <c r="M28" s="17">
        <v>80</v>
      </c>
      <c r="N28" s="17">
        <v>80</v>
      </c>
    </row>
    <row r="29" spans="1:15">
      <c r="A29" s="163" t="s">
        <v>1813</v>
      </c>
      <c r="B29" s="163" t="s">
        <v>1814</v>
      </c>
      <c r="C29" s="237" t="s">
        <v>1815</v>
      </c>
      <c r="D29" s="238" t="s">
        <v>1816</v>
      </c>
      <c r="E29" s="239" t="s">
        <v>1817</v>
      </c>
      <c r="F29" s="240"/>
      <c r="G29" s="164"/>
      <c r="H29" s="164">
        <v>45386</v>
      </c>
      <c r="I29" s="164">
        <v>46387</v>
      </c>
      <c r="J29" s="164"/>
      <c r="K29" s="236"/>
      <c r="L29" s="163" t="s">
        <v>1818</v>
      </c>
      <c r="M29" s="175">
        <v>3</v>
      </c>
      <c r="N29" s="175">
        <v>7</v>
      </c>
    </row>
    <row r="30" spans="1:15">
      <c r="A30" s="33" t="s">
        <v>1819</v>
      </c>
      <c r="B30" s="33" t="s">
        <v>1820</v>
      </c>
      <c r="C30" s="4" t="s">
        <v>1821</v>
      </c>
      <c r="D30" s="80" t="s">
        <v>1822</v>
      </c>
      <c r="E30" s="116" t="s">
        <v>1823</v>
      </c>
      <c r="F30" s="77"/>
      <c r="G30" s="19">
        <v>45840</v>
      </c>
      <c r="H30" s="19">
        <v>45841</v>
      </c>
      <c r="I30" s="19">
        <v>47483</v>
      </c>
      <c r="J30" s="4"/>
      <c r="K30" s="4"/>
      <c r="L30" s="33" t="s">
        <v>1824</v>
      </c>
      <c r="M30" s="17">
        <v>5</v>
      </c>
      <c r="N30" s="17">
        <v>5</v>
      </c>
    </row>
    <row r="31" spans="1:15">
      <c r="A31" s="33" t="s">
        <v>1825</v>
      </c>
      <c r="B31" s="33" t="s">
        <v>1826</v>
      </c>
      <c r="C31" s="4" t="s">
        <v>1827</v>
      </c>
      <c r="D31" s="80" t="s">
        <v>1828</v>
      </c>
      <c r="E31" s="193" t="s">
        <v>1829</v>
      </c>
      <c r="F31" s="8"/>
      <c r="G31" s="19">
        <v>45681</v>
      </c>
      <c r="H31" s="19">
        <v>45665</v>
      </c>
      <c r="I31" s="19">
        <v>46395</v>
      </c>
      <c r="J31" s="19"/>
      <c r="K31" s="4"/>
      <c r="L31" s="33" t="s">
        <v>1720</v>
      </c>
      <c r="M31" s="17">
        <v>50</v>
      </c>
      <c r="N31" s="17">
        <v>0</v>
      </c>
    </row>
    <row r="32" spans="1:15">
      <c r="A32" s="33" t="s">
        <v>1830</v>
      </c>
      <c r="B32" s="33" t="s">
        <v>1831</v>
      </c>
      <c r="C32" s="4" t="s">
        <v>1832</v>
      </c>
      <c r="D32" s="80" t="s">
        <v>1833</v>
      </c>
      <c r="E32" s="116" t="s">
        <v>1834</v>
      </c>
      <c r="F32" s="77"/>
      <c r="G32" s="19">
        <v>45617</v>
      </c>
      <c r="H32" s="19">
        <v>45622</v>
      </c>
      <c r="I32" s="19">
        <v>46752</v>
      </c>
      <c r="J32" s="4"/>
      <c r="K32" s="61"/>
      <c r="L32" s="33" t="s">
        <v>1835</v>
      </c>
      <c r="M32" s="17">
        <v>10</v>
      </c>
      <c r="N32" s="17">
        <v>10</v>
      </c>
    </row>
    <row r="33" spans="1:14">
      <c r="A33" s="33" t="s">
        <v>1836</v>
      </c>
      <c r="B33" s="33" t="s">
        <v>1837</v>
      </c>
      <c r="C33" s="4" t="s">
        <v>1838</v>
      </c>
      <c r="D33" s="80" t="s">
        <v>1839</v>
      </c>
      <c r="E33" s="116" t="s">
        <v>1840</v>
      </c>
      <c r="F33" s="77"/>
      <c r="G33" s="19"/>
      <c r="H33" s="19">
        <v>46091</v>
      </c>
      <c r="I33" s="19">
        <v>46550</v>
      </c>
      <c r="J33" s="19"/>
      <c r="K33" s="19"/>
      <c r="L33" s="33" t="s">
        <v>1760</v>
      </c>
      <c r="M33" s="17">
        <v>100</v>
      </c>
      <c r="N33" s="17">
        <v>0</v>
      </c>
    </row>
    <row r="34" spans="1:14">
      <c r="A34" s="33" t="s">
        <v>1841</v>
      </c>
      <c r="B34" s="33" t="s">
        <v>1842</v>
      </c>
      <c r="C34" s="4" t="s">
        <v>1843</v>
      </c>
      <c r="D34" s="5" t="s">
        <v>1844</v>
      </c>
      <c r="E34" s="116" t="s">
        <v>1845</v>
      </c>
      <c r="F34" s="8"/>
      <c r="G34" s="8"/>
      <c r="H34" s="19">
        <v>45334</v>
      </c>
      <c r="I34" s="19">
        <v>47522</v>
      </c>
      <c r="J34" s="70" t="s">
        <v>1794</v>
      </c>
      <c r="K34" s="4"/>
      <c r="L34" s="33" t="s">
        <v>1720</v>
      </c>
      <c r="M34" s="17">
        <v>3</v>
      </c>
      <c r="N34" s="17">
        <v>6</v>
      </c>
    </row>
    <row r="35" spans="1:14">
      <c r="A35" s="33" t="s">
        <v>1846</v>
      </c>
      <c r="B35" s="33" t="s">
        <v>1847</v>
      </c>
      <c r="C35" s="4" t="s">
        <v>1848</v>
      </c>
      <c r="D35" s="80" t="s">
        <v>1849</v>
      </c>
      <c r="E35" s="116" t="s">
        <v>1850</v>
      </c>
      <c r="F35" s="8"/>
      <c r="G35" s="8"/>
      <c r="H35" s="19">
        <v>45306</v>
      </c>
      <c r="I35" s="19">
        <v>47522</v>
      </c>
      <c r="J35" s="19"/>
      <c r="K35" s="4"/>
      <c r="L35" s="32" t="s">
        <v>1714</v>
      </c>
      <c r="M35" s="17">
        <v>15</v>
      </c>
      <c r="N35" s="17">
        <v>20</v>
      </c>
    </row>
    <row r="36" spans="1:14">
      <c r="A36" s="33" t="s">
        <v>1851</v>
      </c>
      <c r="B36" s="33" t="s">
        <v>1852</v>
      </c>
      <c r="C36" s="4" t="s">
        <v>1853</v>
      </c>
      <c r="D36" s="80" t="s">
        <v>1854</v>
      </c>
      <c r="E36" s="116" t="s">
        <v>1855</v>
      </c>
      <c r="F36" s="8"/>
      <c r="G36" s="8"/>
      <c r="H36" s="19">
        <v>45363</v>
      </c>
      <c r="I36" s="19">
        <v>46096</v>
      </c>
      <c r="J36" s="19"/>
      <c r="K36" s="19"/>
      <c r="L36" s="33" t="s">
        <v>1856</v>
      </c>
      <c r="M36" s="17">
        <v>100</v>
      </c>
      <c r="N36" s="17">
        <v>0</v>
      </c>
    </row>
    <row r="37" spans="1:14">
      <c r="A37" s="33" t="s">
        <v>1857</v>
      </c>
      <c r="B37" s="33" t="s">
        <v>1858</v>
      </c>
      <c r="C37" s="4" t="s">
        <v>1859</v>
      </c>
      <c r="D37" s="5" t="s">
        <v>1860</v>
      </c>
      <c r="E37" s="182" t="s">
        <v>1861</v>
      </c>
      <c r="F37" s="8"/>
      <c r="G37" s="8"/>
      <c r="H37" s="19">
        <v>45345</v>
      </c>
      <c r="I37" s="19">
        <v>47522</v>
      </c>
      <c r="J37" s="19"/>
      <c r="K37" s="19"/>
      <c r="L37" s="33" t="s">
        <v>1760</v>
      </c>
      <c r="M37" s="17">
        <v>20</v>
      </c>
      <c r="N37" s="17">
        <v>20</v>
      </c>
    </row>
    <row r="38" spans="1:14">
      <c r="A38" s="33" t="s">
        <v>1862</v>
      </c>
      <c r="B38" s="33" t="s">
        <v>1863</v>
      </c>
      <c r="C38" s="4" t="s">
        <v>1864</v>
      </c>
      <c r="D38" s="181" t="s">
        <v>1865</v>
      </c>
      <c r="E38" s="116" t="s">
        <v>1866</v>
      </c>
      <c r="F38" s="77"/>
      <c r="G38" s="19">
        <v>45449</v>
      </c>
      <c r="H38" s="19">
        <v>45454</v>
      </c>
      <c r="I38" s="19">
        <v>46391</v>
      </c>
      <c r="J38" s="19"/>
      <c r="K38" s="19"/>
      <c r="L38" s="33" t="s">
        <v>1760</v>
      </c>
      <c r="M38" s="17">
        <v>60</v>
      </c>
      <c r="N38" s="17">
        <v>60</v>
      </c>
    </row>
    <row r="39" spans="1:14">
      <c r="A39" s="33" t="s">
        <v>1867</v>
      </c>
      <c r="B39" s="163" t="s">
        <v>1868</v>
      </c>
      <c r="C39" s="4" t="s">
        <v>1869</v>
      </c>
      <c r="D39" s="80" t="s">
        <v>1870</v>
      </c>
      <c r="E39" s="116" t="s">
        <v>1871</v>
      </c>
      <c r="F39" s="77"/>
      <c r="G39" s="19">
        <v>45867</v>
      </c>
      <c r="H39" s="19"/>
      <c r="I39" s="19">
        <v>47522</v>
      </c>
      <c r="J39" s="4"/>
      <c r="K39" s="236"/>
      <c r="L39" s="33" t="s">
        <v>1872</v>
      </c>
      <c r="M39" s="17">
        <v>45</v>
      </c>
      <c r="N39" s="17">
        <v>45</v>
      </c>
    </row>
    <row r="40" spans="1:14">
      <c r="A40" s="33" t="s">
        <v>1873</v>
      </c>
      <c r="B40" s="33" t="s">
        <v>1874</v>
      </c>
      <c r="C40" s="4" t="s">
        <v>1875</v>
      </c>
      <c r="D40" s="80" t="s">
        <v>1876</v>
      </c>
      <c r="E40" s="116" t="s">
        <v>1877</v>
      </c>
      <c r="F40" s="77"/>
      <c r="G40" s="19">
        <v>45825</v>
      </c>
      <c r="H40" s="19">
        <v>45827</v>
      </c>
      <c r="I40" s="19">
        <v>46185</v>
      </c>
      <c r="J40" s="19">
        <v>46125</v>
      </c>
      <c r="K40" s="19"/>
      <c r="L40" s="33" t="s">
        <v>1878</v>
      </c>
      <c r="M40" s="17">
        <v>5</v>
      </c>
      <c r="N40" s="17">
        <v>1</v>
      </c>
    </row>
    <row r="41" spans="1:14" s="249" customFormat="1">
      <c r="A41" s="163" t="s">
        <v>1879</v>
      </c>
      <c r="B41" s="163" t="s">
        <v>1880</v>
      </c>
      <c r="C41" s="237" t="s">
        <v>1881</v>
      </c>
      <c r="D41" s="238" t="s">
        <v>1882</v>
      </c>
      <c r="E41" s="239" t="s">
        <v>1883</v>
      </c>
      <c r="F41" s="240"/>
      <c r="G41" s="164">
        <v>45419</v>
      </c>
      <c r="H41" s="164">
        <v>45426</v>
      </c>
      <c r="I41" s="164">
        <v>47522</v>
      </c>
      <c r="J41" s="164"/>
      <c r="K41" s="121"/>
      <c r="L41" s="163" t="s">
        <v>1884</v>
      </c>
      <c r="M41" s="175">
        <v>15</v>
      </c>
      <c r="N41" s="175">
        <v>15</v>
      </c>
    </row>
    <row r="42" spans="1:14">
      <c r="A42" s="53" t="s">
        <v>1885</v>
      </c>
      <c r="B42" s="33" t="s">
        <v>1886</v>
      </c>
      <c r="C42" s="4" t="s">
        <v>1887</v>
      </c>
      <c r="D42" s="80" t="s">
        <v>1888</v>
      </c>
      <c r="E42" s="116" t="s">
        <v>1889</v>
      </c>
      <c r="F42" s="77"/>
      <c r="G42" s="19">
        <v>46113</v>
      </c>
      <c r="H42" s="19">
        <v>46115</v>
      </c>
      <c r="I42" s="19">
        <v>47483</v>
      </c>
      <c r="J42" s="4"/>
      <c r="K42" s="19">
        <v>46125</v>
      </c>
      <c r="L42" s="53"/>
      <c r="M42" s="17"/>
      <c r="N42" s="17">
        <v>6</v>
      </c>
    </row>
    <row r="43" spans="1:14">
      <c r="A43" s="33" t="s">
        <v>1890</v>
      </c>
      <c r="B43" s="33" t="s">
        <v>1891</v>
      </c>
      <c r="C43" s="4" t="s">
        <v>1892</v>
      </c>
      <c r="D43" s="181" t="s">
        <v>1893</v>
      </c>
      <c r="E43" s="116" t="s">
        <v>1894</v>
      </c>
      <c r="F43" s="77"/>
      <c r="G43" s="19">
        <v>45734</v>
      </c>
      <c r="H43" s="19">
        <v>45741</v>
      </c>
      <c r="I43" s="19">
        <v>46752</v>
      </c>
      <c r="J43" s="4"/>
      <c r="K43" s="19"/>
      <c r="L43" s="33" t="s">
        <v>1884</v>
      </c>
      <c r="M43" s="17">
        <v>9</v>
      </c>
      <c r="N43" s="17">
        <v>3</v>
      </c>
    </row>
    <row r="44" spans="1:14">
      <c r="A44" s="33" t="s">
        <v>1895</v>
      </c>
      <c r="B44" s="33" t="s">
        <v>1896</v>
      </c>
      <c r="C44" s="4" t="s">
        <v>1897</v>
      </c>
      <c r="D44" s="80" t="s">
        <v>1898</v>
      </c>
      <c r="E44" s="116" t="s">
        <v>1899</v>
      </c>
      <c r="F44" s="77"/>
      <c r="G44" s="19">
        <v>45825</v>
      </c>
      <c r="H44" s="19">
        <v>45833</v>
      </c>
      <c r="I44" s="19">
        <v>46193</v>
      </c>
      <c r="J44" s="19"/>
      <c r="K44" s="61"/>
      <c r="L44" s="33" t="s">
        <v>1900</v>
      </c>
      <c r="M44" s="17">
        <v>50</v>
      </c>
      <c r="N44" s="17">
        <v>0</v>
      </c>
    </row>
    <row r="45" spans="1:14">
      <c r="A45" s="53" t="s">
        <v>1901</v>
      </c>
      <c r="B45" s="33" t="s">
        <v>1902</v>
      </c>
      <c r="C45" s="4" t="s">
        <v>1903</v>
      </c>
      <c r="D45" s="80" t="s">
        <v>1904</v>
      </c>
      <c r="E45" s="116" t="s">
        <v>1905</v>
      </c>
      <c r="F45" s="77"/>
      <c r="G45" s="19">
        <v>45454</v>
      </c>
      <c r="H45" s="19">
        <v>45454</v>
      </c>
      <c r="I45" s="19">
        <v>45819</v>
      </c>
      <c r="J45" s="19" t="s">
        <v>1906</v>
      </c>
      <c r="K45" s="61">
        <v>45867</v>
      </c>
      <c r="L45" s="53"/>
      <c r="M45" s="17">
        <v>30</v>
      </c>
      <c r="N45" s="17">
        <v>0</v>
      </c>
    </row>
    <row r="46" spans="1:14">
      <c r="A46" s="33" t="s">
        <v>1907</v>
      </c>
      <c r="B46" s="33" t="s">
        <v>1908</v>
      </c>
      <c r="C46" s="4" t="s">
        <v>1909</v>
      </c>
      <c r="D46" s="80" t="s">
        <v>1910</v>
      </c>
      <c r="E46" s="116" t="s">
        <v>1911</v>
      </c>
      <c r="F46" s="77"/>
      <c r="G46" s="19">
        <v>45559</v>
      </c>
      <c r="H46" s="19">
        <v>45565</v>
      </c>
      <c r="I46" s="19">
        <v>46752</v>
      </c>
      <c r="J46" s="4"/>
      <c r="K46" s="61"/>
      <c r="L46" s="33" t="s">
        <v>1776</v>
      </c>
      <c r="M46" s="17">
        <v>3</v>
      </c>
      <c r="N46" s="17">
        <v>3</v>
      </c>
    </row>
    <row r="47" spans="1:14">
      <c r="A47" s="33" t="s">
        <v>1912</v>
      </c>
      <c r="B47" s="33" t="s">
        <v>1913</v>
      </c>
      <c r="C47" s="4" t="s">
        <v>1914</v>
      </c>
      <c r="D47" s="80" t="s">
        <v>1915</v>
      </c>
      <c r="E47" s="116" t="s">
        <v>1916</v>
      </c>
      <c r="F47" s="77"/>
      <c r="G47" s="19"/>
      <c r="H47" s="19"/>
      <c r="I47" s="19">
        <v>46207</v>
      </c>
      <c r="J47" s="19"/>
      <c r="K47" s="4"/>
      <c r="L47" s="33" t="s">
        <v>1917</v>
      </c>
      <c r="M47" s="17">
        <v>30</v>
      </c>
      <c r="N47" s="17">
        <v>0</v>
      </c>
    </row>
    <row r="48" spans="1:14">
      <c r="A48" s="163" t="s">
        <v>1918</v>
      </c>
      <c r="B48" s="163" t="s">
        <v>1919</v>
      </c>
      <c r="C48" s="237" t="s">
        <v>1920</v>
      </c>
      <c r="D48" s="80" t="s">
        <v>1921</v>
      </c>
      <c r="E48" s="239" t="s">
        <v>1922</v>
      </c>
      <c r="F48" s="237"/>
      <c r="G48" s="237"/>
      <c r="H48" s="164">
        <v>45351</v>
      </c>
      <c r="I48" s="164">
        <v>47522</v>
      </c>
      <c r="J48" s="164"/>
      <c r="K48" s="121"/>
      <c r="L48" s="163" t="s">
        <v>1923</v>
      </c>
      <c r="M48" s="175">
        <v>1</v>
      </c>
      <c r="N48" s="175">
        <v>1</v>
      </c>
    </row>
    <row r="49" spans="1:15">
      <c r="A49" s="53" t="s">
        <v>1924</v>
      </c>
      <c r="B49" s="33" t="s">
        <v>1925</v>
      </c>
      <c r="C49" s="4" t="s">
        <v>1926</v>
      </c>
      <c r="D49" s="80" t="s">
        <v>1927</v>
      </c>
      <c r="E49" s="116" t="s">
        <v>1928</v>
      </c>
      <c r="F49" s="77"/>
      <c r="G49" s="19">
        <v>45642</v>
      </c>
      <c r="H49" s="19">
        <v>45643</v>
      </c>
      <c r="I49" s="19">
        <v>47522</v>
      </c>
      <c r="J49" s="4"/>
      <c r="K49" s="4"/>
      <c r="L49" s="53"/>
      <c r="M49" s="17">
        <v>3</v>
      </c>
      <c r="N49" s="17">
        <v>3</v>
      </c>
    </row>
    <row r="50" spans="1:15">
      <c r="A50" s="33" t="s">
        <v>1929</v>
      </c>
      <c r="B50" s="33" t="s">
        <v>1930</v>
      </c>
      <c r="C50" s="4" t="s">
        <v>1931</v>
      </c>
      <c r="D50" s="5" t="s">
        <v>1932</v>
      </c>
      <c r="E50" s="191" t="s">
        <v>1933</v>
      </c>
      <c r="F50" s="8"/>
      <c r="G50" s="8"/>
      <c r="H50" s="19">
        <v>44965</v>
      </c>
      <c r="I50" s="19">
        <v>47522</v>
      </c>
      <c r="J50" s="19"/>
      <c r="K50" s="4"/>
      <c r="L50" s="33" t="s">
        <v>1934</v>
      </c>
      <c r="M50" s="17">
        <v>25</v>
      </c>
      <c r="N50" s="17">
        <v>10</v>
      </c>
      <c r="O50" s="282">
        <v>45776</v>
      </c>
    </row>
    <row r="51" spans="1:15">
      <c r="A51" s="33" t="s">
        <v>1935</v>
      </c>
      <c r="B51" s="33" t="s">
        <v>1936</v>
      </c>
      <c r="C51" s="4" t="s">
        <v>1937</v>
      </c>
      <c r="D51" s="80" t="s">
        <v>1938</v>
      </c>
      <c r="E51" s="116" t="s">
        <v>1939</v>
      </c>
      <c r="F51" s="4"/>
      <c r="G51" s="4"/>
      <c r="H51" s="19">
        <v>45363</v>
      </c>
      <c r="I51" s="19">
        <v>47522</v>
      </c>
      <c r="J51" s="19"/>
      <c r="K51" s="19"/>
      <c r="L51" s="33" t="s">
        <v>1940</v>
      </c>
      <c r="M51" s="17">
        <v>20</v>
      </c>
      <c r="N51" s="17">
        <v>10</v>
      </c>
    </row>
    <row r="52" spans="1:15">
      <c r="A52" s="33" t="s">
        <v>1941</v>
      </c>
      <c r="B52" s="34" t="s">
        <v>1942</v>
      </c>
      <c r="C52" s="28" t="s">
        <v>1943</v>
      </c>
      <c r="D52" s="5" t="s">
        <v>1944</v>
      </c>
      <c r="E52" s="191" t="s">
        <v>1945</v>
      </c>
      <c r="F52" s="8"/>
      <c r="G52" s="8"/>
      <c r="H52" s="19">
        <v>45268</v>
      </c>
      <c r="I52" s="19">
        <v>47522</v>
      </c>
      <c r="J52" s="19"/>
      <c r="K52" s="4"/>
      <c r="L52" s="32" t="s">
        <v>1714</v>
      </c>
      <c r="M52" s="17">
        <v>3</v>
      </c>
      <c r="N52" s="17">
        <v>2</v>
      </c>
    </row>
    <row r="53" spans="1:15">
      <c r="A53" s="4" t="s">
        <v>1946</v>
      </c>
      <c r="B53" s="33" t="s">
        <v>1947</v>
      </c>
      <c r="C53" s="4"/>
      <c r="D53" s="80"/>
      <c r="E53" s="116"/>
      <c r="F53" s="77"/>
      <c r="G53" s="19">
        <v>45754</v>
      </c>
      <c r="H53" s="19">
        <v>45758</v>
      </c>
      <c r="I53" s="19">
        <v>46289</v>
      </c>
      <c r="J53" s="4"/>
      <c r="K53" s="4"/>
      <c r="L53" s="4"/>
      <c r="M53" s="17">
        <v>100</v>
      </c>
      <c r="N53" s="17">
        <v>50</v>
      </c>
    </row>
    <row r="54" spans="1:15">
      <c r="A54" s="33" t="s">
        <v>1948</v>
      </c>
      <c r="B54" s="33" t="s">
        <v>1949</v>
      </c>
      <c r="C54" s="4" t="s">
        <v>1950</v>
      </c>
      <c r="D54" s="80" t="s">
        <v>1951</v>
      </c>
      <c r="E54" s="116" t="s">
        <v>1952</v>
      </c>
      <c r="F54" s="77"/>
      <c r="G54" s="19">
        <v>45559</v>
      </c>
      <c r="H54" s="19">
        <v>45565</v>
      </c>
      <c r="I54" s="19">
        <v>46752</v>
      </c>
      <c r="J54" s="4"/>
      <c r="K54" s="61"/>
      <c r="L54" s="33" t="s">
        <v>1953</v>
      </c>
      <c r="M54" s="17">
        <v>6</v>
      </c>
      <c r="N54" s="17">
        <v>6</v>
      </c>
    </row>
    <row r="55" spans="1:15">
      <c r="A55" s="53" t="s">
        <v>1954</v>
      </c>
      <c r="B55" s="33" t="s">
        <v>1955</v>
      </c>
      <c r="C55" s="4" t="s">
        <v>1956</v>
      </c>
      <c r="D55" s="181" t="s">
        <v>1957</v>
      </c>
      <c r="E55" s="116" t="s">
        <v>1958</v>
      </c>
      <c r="F55" s="4"/>
      <c r="G55" s="19">
        <v>45933</v>
      </c>
      <c r="H55" s="19">
        <v>45936</v>
      </c>
      <c r="I55" s="19">
        <v>46722</v>
      </c>
      <c r="J55" s="4"/>
      <c r="K55" s="4"/>
      <c r="L55" s="53"/>
      <c r="M55" s="17">
        <v>8</v>
      </c>
      <c r="N55" s="17">
        <v>2</v>
      </c>
      <c r="O55" s="383" t="s">
        <v>1959</v>
      </c>
    </row>
    <row r="56" spans="1:15">
      <c r="A56" s="53" t="s">
        <v>1960</v>
      </c>
      <c r="B56" s="33" t="s">
        <v>1961</v>
      </c>
      <c r="C56" s="4" t="s">
        <v>1962</v>
      </c>
      <c r="D56" s="80" t="s">
        <v>1963</v>
      </c>
      <c r="E56" s="116" t="s">
        <v>1964</v>
      </c>
      <c r="F56" s="77"/>
      <c r="G56" s="19">
        <v>45734</v>
      </c>
      <c r="H56" s="19">
        <v>45735</v>
      </c>
      <c r="I56" s="19">
        <v>46100</v>
      </c>
      <c r="J56" s="4"/>
      <c r="K56" s="19">
        <v>45867</v>
      </c>
      <c r="L56" s="53"/>
      <c r="M56" s="17">
        <v>10</v>
      </c>
      <c r="N56" s="17">
        <v>0</v>
      </c>
    </row>
    <row r="57" spans="1:15">
      <c r="A57" s="4" t="s">
        <v>1965</v>
      </c>
      <c r="B57" s="33" t="s">
        <v>1966</v>
      </c>
      <c r="C57" s="4"/>
      <c r="D57" s="80"/>
      <c r="E57" s="116"/>
      <c r="F57" s="77"/>
      <c r="G57" s="19">
        <v>46113</v>
      </c>
      <c r="H57" s="19">
        <v>46115</v>
      </c>
      <c r="I57" s="19">
        <v>46387</v>
      </c>
      <c r="J57" s="4"/>
      <c r="K57" s="4"/>
      <c r="L57" s="53"/>
      <c r="M57" s="17">
        <v>5</v>
      </c>
      <c r="N57" s="17">
        <v>15</v>
      </c>
    </row>
    <row r="58" spans="1:15">
      <c r="A58" s="53" t="s">
        <v>1967</v>
      </c>
      <c r="B58" s="33" t="s">
        <v>1968</v>
      </c>
      <c r="C58" s="4" t="s">
        <v>1969</v>
      </c>
      <c r="D58" s="80" t="s">
        <v>1970</v>
      </c>
      <c r="E58" s="116" t="s">
        <v>1971</v>
      </c>
      <c r="F58" s="77"/>
      <c r="G58" s="19">
        <v>45932</v>
      </c>
      <c r="H58" s="19">
        <v>45936</v>
      </c>
      <c r="I58" s="19">
        <v>47522</v>
      </c>
      <c r="J58" s="4"/>
      <c r="K58" s="19">
        <v>45946</v>
      </c>
      <c r="L58" s="53"/>
      <c r="M58" s="17">
        <v>6</v>
      </c>
      <c r="N58" s="17">
        <v>6</v>
      </c>
    </row>
    <row r="59" spans="1:15">
      <c r="A59" s="195" t="s">
        <v>1794</v>
      </c>
      <c r="B59" s="195" t="s">
        <v>1972</v>
      </c>
      <c r="C59" s="4" t="s">
        <v>1973</v>
      </c>
      <c r="D59" s="80" t="s">
        <v>1974</v>
      </c>
      <c r="E59" s="116" t="s">
        <v>1975</v>
      </c>
      <c r="F59" s="19"/>
      <c r="G59" s="19">
        <v>45378</v>
      </c>
      <c r="H59" s="4"/>
      <c r="I59" s="19">
        <v>46752</v>
      </c>
      <c r="J59" s="107" t="s">
        <v>1794</v>
      </c>
      <c r="K59" s="4"/>
      <c r="L59" s="33" t="s">
        <v>1976</v>
      </c>
      <c r="M59" s="17">
        <v>15</v>
      </c>
      <c r="N59" s="17">
        <v>15</v>
      </c>
    </row>
    <row r="60" spans="1:15">
      <c r="A60" s="33" t="s">
        <v>1977</v>
      </c>
      <c r="B60" s="33" t="s">
        <v>1978</v>
      </c>
      <c r="C60" s="4" t="s">
        <v>1979</v>
      </c>
      <c r="D60" s="5" t="s">
        <v>1980</v>
      </c>
      <c r="E60" s="191" t="s">
        <v>1981</v>
      </c>
      <c r="F60" s="8"/>
      <c r="G60" s="8"/>
      <c r="H60" s="19">
        <v>45268</v>
      </c>
      <c r="I60" s="19">
        <v>47522</v>
      </c>
      <c r="J60" s="19"/>
      <c r="K60" s="4"/>
      <c r="L60" s="33" t="s">
        <v>1760</v>
      </c>
      <c r="M60" s="17">
        <v>10</v>
      </c>
      <c r="N60" s="17">
        <v>4</v>
      </c>
      <c r="O60" s="282">
        <v>45776</v>
      </c>
    </row>
    <row r="61" spans="1:15">
      <c r="A61" s="189" t="s">
        <v>1982</v>
      </c>
      <c r="B61" s="163" t="s">
        <v>1983</v>
      </c>
      <c r="C61" s="237"/>
      <c r="D61" s="238"/>
      <c r="E61" s="239"/>
      <c r="F61" s="240"/>
      <c r="G61" s="164">
        <v>45498</v>
      </c>
      <c r="H61" s="164">
        <v>45506</v>
      </c>
      <c r="I61" s="164">
        <v>46752</v>
      </c>
      <c r="J61" s="237"/>
      <c r="K61" s="121">
        <v>45820</v>
      </c>
      <c r="L61" s="189"/>
      <c r="M61" s="175">
        <v>10</v>
      </c>
      <c r="N61" s="175">
        <v>10</v>
      </c>
    </row>
    <row r="62" spans="1:15">
      <c r="A62" s="33" t="s">
        <v>1984</v>
      </c>
      <c r="B62" s="33" t="s">
        <v>1985</v>
      </c>
      <c r="C62" s="4" t="s">
        <v>1986</v>
      </c>
      <c r="D62" s="80" t="s">
        <v>1987</v>
      </c>
      <c r="E62" s="116" t="s">
        <v>1988</v>
      </c>
      <c r="F62" s="77"/>
      <c r="G62" s="19">
        <v>46071</v>
      </c>
      <c r="H62" s="19">
        <v>46057</v>
      </c>
      <c r="I62" s="19">
        <v>47522</v>
      </c>
      <c r="J62" s="4"/>
      <c r="K62" s="4"/>
      <c r="L62" s="33" t="s">
        <v>1989</v>
      </c>
      <c r="M62" s="17">
        <v>5</v>
      </c>
      <c r="N62" s="17">
        <v>5</v>
      </c>
    </row>
    <row r="63" spans="1:15">
      <c r="A63" s="33" t="s">
        <v>1990</v>
      </c>
      <c r="B63" s="33" t="s">
        <v>1991</v>
      </c>
      <c r="C63" s="4" t="s">
        <v>1992</v>
      </c>
      <c r="D63" s="80" t="s">
        <v>1993</v>
      </c>
      <c r="E63" s="116" t="s">
        <v>1994</v>
      </c>
      <c r="F63" s="77"/>
      <c r="G63" s="19">
        <v>45734</v>
      </c>
      <c r="H63" s="19">
        <v>45741</v>
      </c>
      <c r="I63" s="19">
        <v>46752</v>
      </c>
      <c r="J63" s="4"/>
      <c r="K63" s="19"/>
      <c r="L63" s="33" t="s">
        <v>1995</v>
      </c>
      <c r="M63" s="17">
        <v>10</v>
      </c>
      <c r="N63" s="17">
        <v>6</v>
      </c>
    </row>
    <row r="64" spans="1:15">
      <c r="A64" s="55"/>
      <c r="B64" s="55"/>
      <c r="C64" s="55"/>
      <c r="D64" s="55"/>
      <c r="E64" s="210"/>
      <c r="F64" s="55"/>
      <c r="G64" s="55"/>
      <c r="H64" s="55"/>
      <c r="I64" s="55"/>
      <c r="J64" s="55"/>
      <c r="K64" s="55"/>
      <c r="L64" s="55"/>
      <c r="M64" s="211"/>
      <c r="N64" s="211"/>
    </row>
    <row r="65" spans="1:14">
      <c r="A65" s="53" t="s">
        <v>1996</v>
      </c>
      <c r="B65" s="53" t="s">
        <v>1997</v>
      </c>
      <c r="C65" s="4"/>
      <c r="D65" s="80"/>
      <c r="E65" s="116"/>
      <c r="F65" s="77"/>
      <c r="G65" s="19">
        <v>46087</v>
      </c>
      <c r="H65" s="4"/>
      <c r="I65" s="19">
        <v>47483</v>
      </c>
      <c r="J65" s="4"/>
      <c r="K65" s="61">
        <v>45692</v>
      </c>
      <c r="L65" s="53"/>
      <c r="M65" s="17">
        <v>15</v>
      </c>
      <c r="N65" s="17">
        <v>15</v>
      </c>
    </row>
    <row r="66" spans="1:14">
      <c r="A66" s="4"/>
      <c r="B66" s="53" t="s">
        <v>1998</v>
      </c>
      <c r="C66" s="4" t="s">
        <v>1999</v>
      </c>
      <c r="D66" s="80" t="s">
        <v>2000</v>
      </c>
      <c r="E66" s="116" t="s">
        <v>2001</v>
      </c>
      <c r="F66" s="77"/>
      <c r="G66" s="19">
        <v>46065</v>
      </c>
      <c r="H66" s="4"/>
      <c r="I66" s="4"/>
      <c r="J66" s="4"/>
      <c r="K66" s="4"/>
      <c r="L66" s="53"/>
      <c r="M66" s="17"/>
      <c r="N66" s="17"/>
    </row>
    <row r="67" spans="1:14">
      <c r="A67" s="4"/>
      <c r="B67" s="4" t="s">
        <v>2002</v>
      </c>
      <c r="C67" s="4" t="s">
        <v>2003</v>
      </c>
      <c r="D67" s="80" t="s">
        <v>2004</v>
      </c>
      <c r="E67" s="116" t="s">
        <v>2005</v>
      </c>
      <c r="F67" s="77"/>
      <c r="G67" s="19">
        <v>46058</v>
      </c>
      <c r="H67" s="4"/>
      <c r="I67" s="4"/>
      <c r="J67" s="4"/>
      <c r="K67" s="4"/>
      <c r="L67" s="53"/>
      <c r="M67" s="17"/>
      <c r="N67" s="17"/>
    </row>
    <row r="68" spans="1:14">
      <c r="A68" s="4" t="s">
        <v>2006</v>
      </c>
      <c r="B68" s="53" t="s">
        <v>2007</v>
      </c>
      <c r="C68" s="4"/>
      <c r="D68" s="80"/>
      <c r="E68" s="116"/>
      <c r="F68" s="77"/>
      <c r="G68" s="19">
        <v>46076</v>
      </c>
      <c r="H68" s="4"/>
      <c r="I68" s="19">
        <v>46696</v>
      </c>
      <c r="J68" s="4"/>
      <c r="K68" s="4"/>
      <c r="L68" s="53"/>
      <c r="M68" s="17"/>
      <c r="N68" s="17"/>
    </row>
    <row r="69" spans="1:14">
      <c r="A69" s="4"/>
      <c r="B69" s="4"/>
      <c r="C69" s="4"/>
      <c r="D69" s="4"/>
      <c r="E69" s="116"/>
      <c r="F69" s="4"/>
      <c r="G69" s="4"/>
      <c r="H69" s="4"/>
      <c r="I69" s="4"/>
      <c r="J69" s="4"/>
      <c r="K69" s="4"/>
      <c r="L69" s="4"/>
      <c r="M69" s="17"/>
      <c r="N69" s="17"/>
    </row>
    <row r="71" spans="1:14" ht="26.1" customHeight="1">
      <c r="B71" t="e" vm="4">
        <v>#VALUE!</v>
      </c>
    </row>
    <row r="72" spans="1:14">
      <c r="A72" s="6" t="s">
        <v>17</v>
      </c>
      <c r="B72" s="6" t="s">
        <v>2008</v>
      </c>
      <c r="C72" s="6"/>
    </row>
    <row r="74" spans="1:14" ht="45">
      <c r="A74" s="11" t="s">
        <v>1398</v>
      </c>
      <c r="B74" s="12" t="s">
        <v>29</v>
      </c>
      <c r="C74" s="12" t="s">
        <v>1683</v>
      </c>
      <c r="D74" s="12" t="s">
        <v>34</v>
      </c>
      <c r="E74" s="114"/>
      <c r="F74" s="128" t="s">
        <v>1684</v>
      </c>
      <c r="G74" s="126" t="s">
        <v>2009</v>
      </c>
      <c r="H74" s="127" t="s">
        <v>1686</v>
      </c>
      <c r="I74" s="127" t="s">
        <v>1687</v>
      </c>
      <c r="J74" s="127"/>
      <c r="K74" s="114" t="s">
        <v>1688</v>
      </c>
      <c r="L74" s="127" t="s">
        <v>1689</v>
      </c>
      <c r="M74" s="24" t="s">
        <v>2010</v>
      </c>
      <c r="N74" s="24" t="s">
        <v>2011</v>
      </c>
    </row>
    <row r="75" spans="1:14">
      <c r="A75" s="26"/>
      <c r="B75" s="26" t="s">
        <v>2012</v>
      </c>
      <c r="C75" s="26"/>
      <c r="D75" s="26"/>
      <c r="E75" s="115"/>
      <c r="F75" s="26"/>
      <c r="G75" s="26"/>
      <c r="H75" s="26"/>
      <c r="I75" s="26"/>
      <c r="J75" s="26"/>
      <c r="K75" s="26"/>
      <c r="L75" s="26"/>
      <c r="M75" s="27">
        <v>150</v>
      </c>
      <c r="N75" s="27">
        <v>30</v>
      </c>
    </row>
    <row r="76" spans="1:14">
      <c r="A76" s="33" t="s">
        <v>2013</v>
      </c>
      <c r="B76" s="33" t="s">
        <v>2014</v>
      </c>
      <c r="C76" s="4" t="s">
        <v>2015</v>
      </c>
      <c r="D76" s="80" t="s">
        <v>2016</v>
      </c>
      <c r="E76" s="193" t="s">
        <v>2017</v>
      </c>
      <c r="F76" s="4"/>
      <c r="G76" s="4"/>
      <c r="H76" s="30">
        <v>45386</v>
      </c>
      <c r="I76" s="30">
        <v>47522</v>
      </c>
      <c r="J76" s="4"/>
      <c r="K76" s="4"/>
      <c r="L76" s="32" t="s">
        <v>1714</v>
      </c>
      <c r="M76" s="17">
        <v>10</v>
      </c>
      <c r="N76" s="17">
        <v>3</v>
      </c>
    </row>
    <row r="77" spans="1:14">
      <c r="A77" s="33" t="s">
        <v>2018</v>
      </c>
      <c r="B77" s="33" t="s">
        <v>2019</v>
      </c>
      <c r="C77" s="4" t="s">
        <v>1717</v>
      </c>
      <c r="D77" s="80" t="s">
        <v>2020</v>
      </c>
      <c r="E77" s="193" t="s">
        <v>2021</v>
      </c>
      <c r="F77" s="4"/>
      <c r="G77" s="4"/>
      <c r="H77" s="30">
        <v>45366</v>
      </c>
      <c r="I77" s="30">
        <v>47483</v>
      </c>
      <c r="J77" s="4"/>
      <c r="K77" s="4"/>
      <c r="L77" s="32" t="s">
        <v>1720</v>
      </c>
      <c r="M77" s="17">
        <v>10</v>
      </c>
      <c r="N77" s="17">
        <v>8</v>
      </c>
    </row>
    <row r="78" spans="1:14">
      <c r="A78" s="33" t="s">
        <v>2022</v>
      </c>
      <c r="B78" s="33" t="s">
        <v>2023</v>
      </c>
      <c r="C78" s="4" t="s">
        <v>2024</v>
      </c>
      <c r="D78" s="80" t="s">
        <v>2025</v>
      </c>
      <c r="E78" s="194" t="s">
        <v>2026</v>
      </c>
      <c r="F78" s="8"/>
      <c r="G78" s="8"/>
      <c r="H78" s="30">
        <v>45363</v>
      </c>
      <c r="I78" s="30">
        <v>47522</v>
      </c>
      <c r="J78" s="107" t="s">
        <v>1794</v>
      </c>
      <c r="K78" s="4"/>
      <c r="L78" s="32" t="s">
        <v>2027</v>
      </c>
      <c r="M78" s="17">
        <v>20</v>
      </c>
      <c r="N78" s="17">
        <v>20</v>
      </c>
    </row>
    <row r="79" spans="1:14">
      <c r="A79" s="33" t="s">
        <v>2028</v>
      </c>
      <c r="B79" s="33" t="s">
        <v>2029</v>
      </c>
      <c r="C79" s="4" t="s">
        <v>2030</v>
      </c>
      <c r="D79" s="80" t="s">
        <v>2031</v>
      </c>
      <c r="E79" s="193" t="s">
        <v>2032</v>
      </c>
      <c r="F79" s="4"/>
      <c r="G79" s="4"/>
      <c r="H79" s="30">
        <v>45356</v>
      </c>
      <c r="I79" s="263">
        <v>46086</v>
      </c>
      <c r="J79" s="4"/>
      <c r="K79" s="4"/>
      <c r="L79" s="33" t="s">
        <v>1720</v>
      </c>
      <c r="M79" s="17"/>
      <c r="N79" s="17">
        <v>0</v>
      </c>
    </row>
    <row r="80" spans="1:14">
      <c r="A80" s="33" t="s">
        <v>2033</v>
      </c>
      <c r="B80" s="33" t="s">
        <v>2034</v>
      </c>
      <c r="C80" s="4" t="s">
        <v>2035</v>
      </c>
      <c r="D80" s="5" t="s">
        <v>2036</v>
      </c>
      <c r="E80" s="194" t="s">
        <v>2037</v>
      </c>
      <c r="F80" s="8"/>
      <c r="G80" s="8"/>
      <c r="H80" s="19"/>
      <c r="I80" s="19">
        <v>47522</v>
      </c>
      <c r="J80" s="107" t="s">
        <v>1794</v>
      </c>
      <c r="K80" s="4"/>
      <c r="L80" s="32" t="s">
        <v>1714</v>
      </c>
      <c r="M80" s="17">
        <v>40</v>
      </c>
      <c r="N80" s="17">
        <v>10</v>
      </c>
    </row>
    <row r="81" spans="1:14">
      <c r="A81" s="33" t="s">
        <v>2038</v>
      </c>
      <c r="B81" s="33" t="s">
        <v>1826</v>
      </c>
      <c r="C81" s="4" t="s">
        <v>1827</v>
      </c>
      <c r="D81" s="80" t="s">
        <v>1828</v>
      </c>
      <c r="E81" s="193" t="s">
        <v>1829</v>
      </c>
      <c r="F81" s="8"/>
      <c r="G81" s="8"/>
      <c r="H81" s="19"/>
      <c r="I81" s="19">
        <v>46030</v>
      </c>
      <c r="J81" s="19"/>
      <c r="K81" s="4"/>
      <c r="L81" s="33" t="s">
        <v>1720</v>
      </c>
      <c r="M81" s="17">
        <v>50</v>
      </c>
      <c r="N81" s="17">
        <v>0</v>
      </c>
    </row>
    <row r="82" spans="1:14">
      <c r="A82" s="33" t="s">
        <v>2039</v>
      </c>
      <c r="B82" s="33" t="s">
        <v>2040</v>
      </c>
      <c r="C82" s="4" t="s">
        <v>2041</v>
      </c>
      <c r="D82" s="80" t="s">
        <v>2042</v>
      </c>
      <c r="E82" s="193" t="s">
        <v>2043</v>
      </c>
      <c r="F82" s="4"/>
      <c r="G82" s="4"/>
      <c r="H82" s="19">
        <v>45387</v>
      </c>
      <c r="I82" s="19">
        <v>47522</v>
      </c>
      <c r="J82" s="4"/>
      <c r="K82" s="4"/>
      <c r="L82" s="33" t="s">
        <v>1720</v>
      </c>
      <c r="M82" s="17">
        <v>3</v>
      </c>
      <c r="N82" s="17">
        <v>3</v>
      </c>
    </row>
    <row r="83" spans="1:14">
      <c r="A83" s="33" t="s">
        <v>2044</v>
      </c>
      <c r="B83" s="33" t="s">
        <v>2045</v>
      </c>
      <c r="C83" s="4" t="s">
        <v>2046</v>
      </c>
      <c r="D83" s="80" t="s">
        <v>2047</v>
      </c>
      <c r="E83" s="193" t="s">
        <v>2048</v>
      </c>
      <c r="F83" s="4"/>
      <c r="G83" s="4"/>
      <c r="H83" s="19">
        <v>45392</v>
      </c>
      <c r="I83" s="19">
        <v>45900</v>
      </c>
      <c r="J83" s="107" t="s">
        <v>1794</v>
      </c>
      <c r="K83" s="4"/>
      <c r="L83" s="33" t="s">
        <v>1720</v>
      </c>
      <c r="M83" s="17">
        <v>25</v>
      </c>
      <c r="N83" s="17">
        <v>35</v>
      </c>
    </row>
    <row r="84" spans="1:14">
      <c r="A84" s="33" t="s">
        <v>2049</v>
      </c>
      <c r="B84" s="33" t="s">
        <v>2050</v>
      </c>
      <c r="C84" s="4" t="s">
        <v>2051</v>
      </c>
      <c r="D84" s="5" t="s">
        <v>2052</v>
      </c>
      <c r="E84" s="194" t="s">
        <v>2053</v>
      </c>
      <c r="F84" s="8"/>
      <c r="G84" s="8"/>
      <c r="H84" s="19">
        <v>45323</v>
      </c>
      <c r="I84" s="19">
        <v>47522</v>
      </c>
      <c r="J84" s="107" t="s">
        <v>1794</v>
      </c>
      <c r="K84" s="4"/>
      <c r="L84" s="33" t="s">
        <v>1714</v>
      </c>
      <c r="M84" s="17">
        <v>50</v>
      </c>
      <c r="N84" s="17">
        <v>50</v>
      </c>
    </row>
    <row r="85" spans="1:14">
      <c r="A85" s="33" t="s">
        <v>2054</v>
      </c>
      <c r="B85" s="34" t="s">
        <v>2055</v>
      </c>
      <c r="C85" s="4" t="s">
        <v>2024</v>
      </c>
      <c r="D85" s="80" t="s">
        <v>2025</v>
      </c>
      <c r="E85" s="194" t="s">
        <v>2026</v>
      </c>
      <c r="F85" s="8"/>
      <c r="G85" s="8"/>
      <c r="H85" s="19">
        <v>45363</v>
      </c>
      <c r="I85" s="19">
        <v>47522</v>
      </c>
      <c r="J85" s="107" t="s">
        <v>1794</v>
      </c>
      <c r="K85" s="4"/>
      <c r="L85" s="32" t="s">
        <v>2056</v>
      </c>
      <c r="M85" s="17">
        <v>20</v>
      </c>
      <c r="N85" s="17">
        <v>25</v>
      </c>
    </row>
    <row r="86" spans="1:14">
      <c r="A86" s="33" t="s">
        <v>2057</v>
      </c>
      <c r="B86" s="33" t="s">
        <v>2058</v>
      </c>
      <c r="C86" s="4" t="s">
        <v>2059</v>
      </c>
      <c r="D86" s="80" t="s">
        <v>2060</v>
      </c>
      <c r="E86" s="193" t="s">
        <v>2061</v>
      </c>
      <c r="F86" s="4"/>
      <c r="G86" s="4"/>
      <c r="H86" s="19">
        <v>45386</v>
      </c>
      <c r="I86" s="19">
        <v>47522</v>
      </c>
      <c r="J86" s="107" t="s">
        <v>1794</v>
      </c>
      <c r="K86" s="4"/>
      <c r="L86" s="33" t="s">
        <v>2056</v>
      </c>
      <c r="M86" s="17">
        <v>1</v>
      </c>
      <c r="N86" s="17">
        <v>1</v>
      </c>
    </row>
    <row r="87" spans="1:14">
      <c r="A87" s="33" t="s">
        <v>2062</v>
      </c>
      <c r="B87" s="33" t="s">
        <v>2063</v>
      </c>
      <c r="C87" s="4" t="s">
        <v>2064</v>
      </c>
      <c r="D87" s="80" t="s">
        <v>2065</v>
      </c>
      <c r="E87" s="193" t="s">
        <v>2066</v>
      </c>
      <c r="F87" s="4"/>
      <c r="G87" s="4"/>
      <c r="H87" s="19">
        <v>45386</v>
      </c>
      <c r="I87" s="19">
        <v>47522</v>
      </c>
      <c r="J87" s="107" t="s">
        <v>1794</v>
      </c>
      <c r="K87" s="4"/>
      <c r="L87" s="33" t="s">
        <v>2056</v>
      </c>
      <c r="M87" s="17">
        <v>8</v>
      </c>
      <c r="N87" s="17">
        <v>8</v>
      </c>
    </row>
    <row r="88" spans="1:14">
      <c r="A88" s="33" t="s">
        <v>2067</v>
      </c>
      <c r="B88" s="33" t="s">
        <v>2068</v>
      </c>
      <c r="C88" s="4" t="s">
        <v>2069</v>
      </c>
      <c r="D88" s="80" t="s">
        <v>2070</v>
      </c>
      <c r="E88" s="193" t="s">
        <v>2071</v>
      </c>
      <c r="F88" s="4"/>
      <c r="G88" s="4"/>
      <c r="H88" s="19">
        <v>45363</v>
      </c>
      <c r="I88" s="19">
        <v>46022</v>
      </c>
      <c r="J88" s="19"/>
      <c r="K88" s="4"/>
      <c r="L88" s="33" t="s">
        <v>1720</v>
      </c>
      <c r="M88" s="17">
        <v>7</v>
      </c>
      <c r="N88" s="17">
        <v>4</v>
      </c>
    </row>
    <row r="89" spans="1:14">
      <c r="A89" s="33" t="s">
        <v>2072</v>
      </c>
      <c r="B89" s="33" t="s">
        <v>2073</v>
      </c>
      <c r="C89" s="4" t="s">
        <v>2074</v>
      </c>
      <c r="D89" s="80" t="s">
        <v>2075</v>
      </c>
      <c r="E89" s="193" t="s">
        <v>2076</v>
      </c>
      <c r="F89" s="4"/>
      <c r="G89" s="4"/>
      <c r="H89" s="19">
        <v>45477</v>
      </c>
      <c r="I89" s="19">
        <v>46155</v>
      </c>
      <c r="J89" s="4"/>
      <c r="K89" s="4"/>
      <c r="L89" s="33" t="s">
        <v>1720</v>
      </c>
      <c r="M89" s="17">
        <v>15</v>
      </c>
      <c r="N89" s="17">
        <v>15</v>
      </c>
    </row>
    <row r="90" spans="1:14">
      <c r="A90" s="33" t="s">
        <v>2077</v>
      </c>
      <c r="B90" s="33" t="s">
        <v>2078</v>
      </c>
      <c r="C90" s="4" t="s">
        <v>2079</v>
      </c>
      <c r="D90" s="80" t="s">
        <v>2080</v>
      </c>
      <c r="E90" s="194" t="s">
        <v>2081</v>
      </c>
      <c r="F90" s="8"/>
      <c r="G90" s="8"/>
      <c r="H90" s="19">
        <v>45281</v>
      </c>
      <c r="I90" s="19">
        <v>47522</v>
      </c>
      <c r="J90" s="107" t="s">
        <v>1794</v>
      </c>
      <c r="K90" s="4"/>
      <c r="L90" s="33" t="s">
        <v>1714</v>
      </c>
      <c r="M90" s="17">
        <v>20</v>
      </c>
      <c r="N90" s="17">
        <v>50</v>
      </c>
    </row>
    <row r="91" spans="1:14">
      <c r="A91" s="33" t="s">
        <v>2082</v>
      </c>
      <c r="B91" s="33" t="s">
        <v>2083</v>
      </c>
      <c r="C91" s="4" t="s">
        <v>2084</v>
      </c>
      <c r="D91" s="80" t="s">
        <v>2085</v>
      </c>
      <c r="E91" s="116" t="s">
        <v>2086</v>
      </c>
      <c r="F91" s="4"/>
      <c r="G91" s="4"/>
      <c r="H91" s="19">
        <v>45867</v>
      </c>
      <c r="I91" s="19">
        <v>46357</v>
      </c>
      <c r="J91" s="4"/>
      <c r="K91" s="4"/>
      <c r="L91" s="33" t="s">
        <v>2087</v>
      </c>
      <c r="M91" s="17">
        <v>10</v>
      </c>
      <c r="N91" s="17">
        <v>10</v>
      </c>
    </row>
    <row r="92" spans="1:14">
      <c r="A92" s="4"/>
      <c r="B92" s="4"/>
      <c r="C92" s="4"/>
      <c r="D92" s="4"/>
      <c r="E92" s="116"/>
      <c r="F92" s="4"/>
      <c r="G92" s="4"/>
      <c r="H92" s="9"/>
      <c r="I92" s="9"/>
      <c r="J92" s="4"/>
      <c r="K92" s="4"/>
      <c r="L92" s="4"/>
      <c r="M92" s="17"/>
      <c r="N92" s="17"/>
    </row>
    <row r="93" spans="1:14">
      <c r="A93" s="4"/>
      <c r="B93" s="147" t="s">
        <v>2088</v>
      </c>
      <c r="C93" s="4"/>
      <c r="D93" s="5" t="s">
        <v>2089</v>
      </c>
      <c r="E93" s="194"/>
      <c r="F93" s="8"/>
      <c r="G93" s="8"/>
      <c r="H93" s="30"/>
      <c r="I93" s="30"/>
      <c r="J93" s="19"/>
      <c r="K93" s="4"/>
      <c r="L93" s="4"/>
      <c r="M93" s="17"/>
      <c r="N93" s="17"/>
    </row>
    <row r="94" spans="1:14">
      <c r="A94" s="4"/>
      <c r="B94" s="4"/>
      <c r="C94" s="4"/>
      <c r="D94" s="4"/>
      <c r="E94" s="116"/>
      <c r="F94" s="4"/>
      <c r="G94" s="4"/>
      <c r="H94" s="4"/>
      <c r="I94" s="4"/>
      <c r="J94" s="4"/>
      <c r="K94" s="4"/>
      <c r="L94" s="4"/>
      <c r="M94" s="17"/>
      <c r="N94" s="17"/>
    </row>
    <row r="95" spans="1:14">
      <c r="A95" s="4"/>
      <c r="B95" s="4"/>
      <c r="C95" s="4"/>
      <c r="D95" s="4"/>
      <c r="E95" s="116"/>
      <c r="F95" s="4"/>
      <c r="G95" s="4"/>
      <c r="H95" s="4"/>
      <c r="I95" s="4"/>
      <c r="J95" s="4"/>
      <c r="K95" s="4"/>
      <c r="L95" s="4"/>
      <c r="M95" s="17"/>
      <c r="N95" s="17"/>
    </row>
    <row r="96" spans="1:14">
      <c r="A96" s="130" t="s">
        <v>2090</v>
      </c>
      <c r="B96" s="130" t="s">
        <v>2091</v>
      </c>
      <c r="C96" s="4" t="s">
        <v>2092</v>
      </c>
      <c r="D96" s="80" t="s">
        <v>2093</v>
      </c>
      <c r="E96" s="116" t="s">
        <v>2094</v>
      </c>
      <c r="F96" s="4"/>
      <c r="G96" s="4"/>
      <c r="H96" s="4"/>
      <c r="I96" s="19">
        <v>47522</v>
      </c>
      <c r="J96" s="4"/>
      <c r="K96" s="4"/>
      <c r="L96" s="32" t="s">
        <v>1714</v>
      </c>
      <c r="M96" s="17">
        <v>100</v>
      </c>
      <c r="N96" s="17">
        <v>40</v>
      </c>
    </row>
    <row r="97" spans="1:15">
      <c r="A97" s="4"/>
      <c r="B97" s="4"/>
      <c r="C97" s="4"/>
      <c r="D97" s="4"/>
      <c r="E97" s="116"/>
      <c r="F97" s="4"/>
      <c r="G97" s="4"/>
      <c r="H97" s="4"/>
      <c r="I97" s="4"/>
      <c r="J97" s="4"/>
      <c r="K97" s="4"/>
      <c r="L97" s="4"/>
      <c r="M97" s="17"/>
      <c r="N97" s="17"/>
    </row>
    <row r="98" spans="1:15">
      <c r="A98" s="4"/>
      <c r="B98" s="4"/>
      <c r="C98" s="4"/>
      <c r="D98" s="4"/>
      <c r="E98" s="116"/>
      <c r="F98" s="4"/>
      <c r="G98" s="4"/>
      <c r="H98" s="4"/>
      <c r="I98" s="4"/>
      <c r="J98" s="4"/>
      <c r="K98" s="4"/>
      <c r="L98" s="4"/>
      <c r="M98" s="17"/>
      <c r="N98" s="17"/>
    </row>
    <row r="99" spans="1:15">
      <c r="A99" s="4"/>
      <c r="B99" s="4"/>
      <c r="C99" s="4"/>
      <c r="D99" s="4"/>
      <c r="E99" s="116"/>
      <c r="F99" s="4"/>
      <c r="G99" s="4"/>
      <c r="H99" s="4"/>
      <c r="I99" s="4"/>
      <c r="J99" s="4"/>
      <c r="K99" s="4"/>
      <c r="L99" s="4"/>
      <c r="M99" s="17"/>
      <c r="N99" s="17"/>
    </row>
    <row r="100" spans="1:15">
      <c r="A100" s="4"/>
      <c r="B100" s="4"/>
      <c r="C100" s="4"/>
      <c r="D100" s="4"/>
      <c r="E100" s="116"/>
      <c r="F100" s="4"/>
      <c r="G100" s="4"/>
      <c r="H100" s="4"/>
      <c r="I100" s="4"/>
      <c r="J100" s="4"/>
      <c r="K100" s="4"/>
      <c r="L100" s="4"/>
      <c r="M100" s="17"/>
      <c r="N100" s="17"/>
    </row>
    <row r="103" spans="1:15">
      <c r="A103" s="33" t="s">
        <v>2095</v>
      </c>
      <c r="B103" s="33" t="s">
        <v>2096</v>
      </c>
      <c r="C103" s="4"/>
      <c r="D103" s="80"/>
      <c r="E103" s="116"/>
      <c r="F103" s="77"/>
      <c r="G103" s="19">
        <v>45721</v>
      </c>
      <c r="H103" s="19">
        <v>45723</v>
      </c>
      <c r="I103" s="19">
        <v>46583</v>
      </c>
      <c r="J103" s="4"/>
      <c r="K103" s="4"/>
      <c r="L103" s="53"/>
      <c r="M103" s="17">
        <v>40</v>
      </c>
      <c r="N103" s="17">
        <v>30</v>
      </c>
    </row>
    <row r="104" spans="1:15">
      <c r="A104" s="33" t="s">
        <v>2097</v>
      </c>
      <c r="B104" s="33" t="s">
        <v>2098</v>
      </c>
      <c r="C104" s="4" t="s">
        <v>2099</v>
      </c>
      <c r="D104" s="80" t="s">
        <v>2100</v>
      </c>
      <c r="E104" s="116" t="s">
        <v>2101</v>
      </c>
      <c r="F104" s="77"/>
      <c r="G104" s="19">
        <v>45636</v>
      </c>
      <c r="H104" s="19">
        <v>45638</v>
      </c>
      <c r="I104" s="19">
        <v>46022</v>
      </c>
      <c r="J104" s="4"/>
      <c r="K104" s="4"/>
      <c r="L104" s="53"/>
      <c r="M104" s="17">
        <v>5</v>
      </c>
      <c r="N104" s="17">
        <v>1</v>
      </c>
    </row>
    <row r="105" spans="1:15">
      <c r="A105" s="53" t="s">
        <v>2102</v>
      </c>
      <c r="B105" s="33" t="s">
        <v>2103</v>
      </c>
      <c r="C105" s="4" t="s">
        <v>2104</v>
      </c>
      <c r="D105" s="80" t="s">
        <v>2105</v>
      </c>
      <c r="E105" s="116"/>
      <c r="F105" s="4"/>
      <c r="G105" s="19">
        <v>45355</v>
      </c>
      <c r="H105" s="4"/>
      <c r="I105" s="19">
        <v>47522</v>
      </c>
      <c r="J105" s="4"/>
      <c r="K105" s="61">
        <v>45716</v>
      </c>
      <c r="L105" s="53"/>
      <c r="M105" s="17">
        <v>20</v>
      </c>
      <c r="N105" s="17">
        <v>20</v>
      </c>
    </row>
    <row r="106" spans="1:15">
      <c r="A106" s="53" t="s">
        <v>2106</v>
      </c>
      <c r="B106" s="33" t="s">
        <v>2107</v>
      </c>
      <c r="C106" s="4" t="s">
        <v>2108</v>
      </c>
      <c r="D106" s="80" t="s">
        <v>2109</v>
      </c>
      <c r="E106" s="116" t="s">
        <v>2110</v>
      </c>
      <c r="F106" s="77"/>
      <c r="G106" s="19">
        <v>45715</v>
      </c>
      <c r="H106" s="19">
        <v>45720</v>
      </c>
      <c r="I106" s="19">
        <v>46022</v>
      </c>
      <c r="J106" s="4"/>
      <c r="K106" s="61">
        <v>45810</v>
      </c>
      <c r="L106" s="53"/>
      <c r="M106" s="17">
        <v>20</v>
      </c>
      <c r="N106" s="17">
        <v>15</v>
      </c>
      <c r="O106" t="s">
        <v>2111</v>
      </c>
    </row>
    <row r="111" spans="1:15">
      <c r="A111" s="73" t="s">
        <v>2112</v>
      </c>
      <c r="B111" s="73" t="s">
        <v>2113</v>
      </c>
      <c r="C111" s="73" t="s">
        <v>2114</v>
      </c>
      <c r="D111" s="197" t="s">
        <v>2115</v>
      </c>
      <c r="E111" s="198" t="s">
        <v>2116</v>
      </c>
      <c r="F111" s="199"/>
      <c r="G111" s="199"/>
      <c r="H111" s="74">
        <v>45279</v>
      </c>
      <c r="I111" s="74">
        <v>47522</v>
      </c>
      <c r="J111" s="102" t="s">
        <v>2117</v>
      </c>
      <c r="K111" s="73"/>
      <c r="L111" s="73"/>
      <c r="M111" s="140">
        <v>60</v>
      </c>
      <c r="N111" s="140">
        <v>20</v>
      </c>
    </row>
    <row r="112" spans="1:15">
      <c r="A112" s="241" t="s">
        <v>2118</v>
      </c>
      <c r="B112" s="231" t="s">
        <v>2119</v>
      </c>
      <c r="C112" s="231" t="s">
        <v>2120</v>
      </c>
      <c r="D112" s="242" t="s">
        <v>2121</v>
      </c>
      <c r="E112" s="243"/>
      <c r="F112" s="141"/>
      <c r="G112" s="141">
        <v>45474</v>
      </c>
      <c r="H112" s="141">
        <v>45475</v>
      </c>
      <c r="I112" s="141">
        <v>45747</v>
      </c>
      <c r="J112" s="141"/>
      <c r="K112" s="233">
        <v>45587</v>
      </c>
      <c r="L112" s="231"/>
      <c r="M112" s="232">
        <v>10</v>
      </c>
      <c r="N112" s="232">
        <v>10</v>
      </c>
    </row>
    <row r="113" spans="1:14">
      <c r="A113" s="231" t="s">
        <v>2122</v>
      </c>
      <c r="B113" s="231" t="s">
        <v>2123</v>
      </c>
      <c r="C113" s="231" t="s">
        <v>2124</v>
      </c>
      <c r="D113" s="242" t="s">
        <v>2125</v>
      </c>
      <c r="E113" s="243" t="s">
        <v>2126</v>
      </c>
      <c r="F113" s="231"/>
      <c r="G113" s="141">
        <v>45440</v>
      </c>
      <c r="H113" s="141">
        <v>45442</v>
      </c>
      <c r="I113" s="141">
        <v>47522</v>
      </c>
      <c r="J113" s="141"/>
      <c r="K113" s="231"/>
      <c r="L113" s="231"/>
      <c r="M113" s="232">
        <v>1</v>
      </c>
      <c r="N113" s="232">
        <v>1</v>
      </c>
    </row>
    <row r="114" spans="1:14">
      <c r="A114" s="73" t="s">
        <v>2127</v>
      </c>
      <c r="B114" s="73" t="s">
        <v>2128</v>
      </c>
      <c r="C114" s="73"/>
      <c r="D114" s="197"/>
      <c r="E114" s="244"/>
      <c r="F114" s="73"/>
      <c r="G114" s="74">
        <v>45545</v>
      </c>
      <c r="H114" s="74">
        <v>45545</v>
      </c>
      <c r="I114" s="74">
        <v>45966</v>
      </c>
      <c r="J114" s="74"/>
      <c r="K114" s="74"/>
      <c r="L114" s="73"/>
      <c r="M114" s="140">
        <v>15</v>
      </c>
      <c r="N114" s="140">
        <v>15</v>
      </c>
    </row>
    <row r="115" spans="1:14" s="264" customFormat="1">
      <c r="A115" s="189" t="s">
        <v>2129</v>
      </c>
      <c r="B115" s="163" t="s">
        <v>2130</v>
      </c>
      <c r="C115" s="237" t="s">
        <v>2131</v>
      </c>
      <c r="D115" s="238" t="s">
        <v>2132</v>
      </c>
      <c r="E115" s="239" t="s">
        <v>2133</v>
      </c>
      <c r="F115" s="240"/>
      <c r="G115" s="164">
        <v>45518</v>
      </c>
      <c r="H115" s="164">
        <v>45524</v>
      </c>
      <c r="I115" s="164">
        <v>45869</v>
      </c>
      <c r="J115" s="237"/>
      <c r="K115" s="236">
        <v>45708</v>
      </c>
      <c r="L115" s="154"/>
      <c r="M115" s="175">
        <v>60</v>
      </c>
      <c r="N115" s="175">
        <v>50</v>
      </c>
    </row>
    <row r="116" spans="1:14" s="249" customFormat="1">
      <c r="A116" s="189" t="s">
        <v>2134</v>
      </c>
      <c r="B116" s="163" t="s">
        <v>2135</v>
      </c>
      <c r="C116" s="237" t="s">
        <v>2136</v>
      </c>
      <c r="D116" s="238" t="s">
        <v>2137</v>
      </c>
      <c r="E116" s="239" t="s">
        <v>2138</v>
      </c>
      <c r="F116" s="240"/>
      <c r="G116" s="164">
        <v>45554</v>
      </c>
      <c r="H116" s="164">
        <v>45558</v>
      </c>
      <c r="I116" s="164">
        <v>47483</v>
      </c>
      <c r="J116" s="237"/>
      <c r="K116" s="121">
        <v>45708</v>
      </c>
      <c r="L116" s="189"/>
      <c r="M116" s="175">
        <v>20</v>
      </c>
      <c r="N116" s="175">
        <v>20</v>
      </c>
    </row>
    <row r="117" spans="1:14" s="249" customFormat="1">
      <c r="A117" s="189" t="s">
        <v>2139</v>
      </c>
      <c r="B117" s="163" t="s">
        <v>2140</v>
      </c>
      <c r="C117" s="237" t="s">
        <v>2141</v>
      </c>
      <c r="D117" s="238" t="s">
        <v>2142</v>
      </c>
      <c r="E117" s="239" t="s">
        <v>2143</v>
      </c>
      <c r="F117" s="240"/>
      <c r="G117" s="164">
        <v>45442</v>
      </c>
      <c r="H117" s="164">
        <v>45447</v>
      </c>
      <c r="I117" s="164">
        <v>47522</v>
      </c>
      <c r="J117" s="164"/>
      <c r="K117" s="121">
        <v>45708</v>
      </c>
      <c r="L117" s="189"/>
      <c r="M117" s="175">
        <v>20</v>
      </c>
      <c r="N117" s="175">
        <v>20</v>
      </c>
    </row>
    <row r="118" spans="1:14">
      <c r="A118" s="189" t="s">
        <v>2144</v>
      </c>
      <c r="B118" s="163" t="s">
        <v>2145</v>
      </c>
      <c r="C118" s="237" t="s">
        <v>2141</v>
      </c>
      <c r="D118" s="238" t="s">
        <v>2142</v>
      </c>
      <c r="E118" s="239" t="s">
        <v>2143</v>
      </c>
      <c r="F118" s="240"/>
      <c r="G118" s="164">
        <v>45442</v>
      </c>
      <c r="H118" s="164">
        <v>45447</v>
      </c>
      <c r="I118" s="164">
        <v>47522</v>
      </c>
      <c r="J118" s="164"/>
      <c r="K118" s="236">
        <v>45708</v>
      </c>
      <c r="L118" s="53"/>
      <c r="M118" s="175">
        <v>10</v>
      </c>
      <c r="N118" s="175">
        <v>10</v>
      </c>
    </row>
    <row r="119" spans="1:14" s="249" customFormat="1">
      <c r="A119" s="189" t="s">
        <v>2146</v>
      </c>
      <c r="B119" s="163" t="s">
        <v>2147</v>
      </c>
      <c r="C119" s="237" t="s">
        <v>2148</v>
      </c>
      <c r="D119" s="238" t="s">
        <v>2149</v>
      </c>
      <c r="E119" s="239" t="s">
        <v>2150</v>
      </c>
      <c r="F119" s="240"/>
      <c r="G119" s="164">
        <v>45419</v>
      </c>
      <c r="H119" s="164">
        <v>45426</v>
      </c>
      <c r="I119" s="263">
        <v>47522</v>
      </c>
      <c r="J119" s="164"/>
      <c r="K119" s="121">
        <v>45586</v>
      </c>
      <c r="L119" s="458" t="s">
        <v>1880</v>
      </c>
      <c r="M119" s="175">
        <v>2</v>
      </c>
      <c r="N119" s="175">
        <v>2</v>
      </c>
    </row>
    <row r="120" spans="1:14">
      <c r="A120" s="189" t="s">
        <v>2151</v>
      </c>
      <c r="B120" s="163" t="s">
        <v>2152</v>
      </c>
      <c r="C120" s="237" t="s">
        <v>1881</v>
      </c>
      <c r="D120" s="238" t="s">
        <v>1882</v>
      </c>
      <c r="E120" s="239" t="s">
        <v>1883</v>
      </c>
      <c r="F120" s="240"/>
      <c r="G120" s="164">
        <v>45440</v>
      </c>
      <c r="H120" s="164">
        <v>45442</v>
      </c>
      <c r="I120" s="164">
        <v>46752</v>
      </c>
      <c r="J120" s="164"/>
      <c r="K120" s="121">
        <v>45686</v>
      </c>
      <c r="L120" s="459"/>
      <c r="M120" s="175">
        <v>15</v>
      </c>
      <c r="N120" s="175">
        <v>15</v>
      </c>
    </row>
    <row r="121" spans="1:14">
      <c r="A121" s="189" t="s">
        <v>2153</v>
      </c>
      <c r="B121" s="163" t="s">
        <v>2154</v>
      </c>
      <c r="C121" s="237" t="s">
        <v>2155</v>
      </c>
      <c r="D121" s="238" t="s">
        <v>2156</v>
      </c>
      <c r="E121" s="239" t="s">
        <v>2157</v>
      </c>
      <c r="F121" s="240"/>
      <c r="G121" s="164"/>
      <c r="H121" s="164">
        <v>45386</v>
      </c>
      <c r="I121" s="164">
        <v>47522</v>
      </c>
      <c r="J121" s="164"/>
      <c r="K121" s="236">
        <v>45708</v>
      </c>
      <c r="L121" s="154"/>
      <c r="M121" s="175">
        <v>4</v>
      </c>
      <c r="N121" s="175">
        <v>6</v>
      </c>
    </row>
    <row r="122" spans="1:14">
      <c r="A122" s="189" t="s">
        <v>2158</v>
      </c>
      <c r="B122" s="163" t="s">
        <v>2159</v>
      </c>
      <c r="C122" s="237" t="s">
        <v>2160</v>
      </c>
      <c r="D122" s="238" t="s">
        <v>2161</v>
      </c>
      <c r="E122" s="239" t="s">
        <v>2162</v>
      </c>
      <c r="F122" s="237"/>
      <c r="G122" s="237"/>
      <c r="H122" s="164">
        <v>45351</v>
      </c>
      <c r="I122" s="164">
        <v>47522</v>
      </c>
      <c r="J122" s="164"/>
      <c r="K122" s="236">
        <v>45708</v>
      </c>
      <c r="L122" s="154"/>
      <c r="M122" s="175">
        <v>10</v>
      </c>
      <c r="N122" s="175">
        <v>10</v>
      </c>
    </row>
    <row r="123" spans="1:14">
      <c r="A123" s="53" t="s">
        <v>2163</v>
      </c>
      <c r="B123" s="122" t="s">
        <v>2164</v>
      </c>
      <c r="C123" s="4" t="s">
        <v>2165</v>
      </c>
      <c r="D123" s="80" t="s">
        <v>2166</v>
      </c>
      <c r="E123" s="116" t="s">
        <v>2167</v>
      </c>
      <c r="F123" s="77"/>
      <c r="G123" s="19">
        <v>45449</v>
      </c>
      <c r="H123" s="19">
        <v>45454</v>
      </c>
      <c r="I123" s="19">
        <v>47522</v>
      </c>
      <c r="J123" s="19"/>
      <c r="K123" s="61">
        <v>45708</v>
      </c>
      <c r="L123" s="53"/>
      <c r="M123" s="17">
        <v>2</v>
      </c>
      <c r="N123" s="17">
        <v>2</v>
      </c>
    </row>
    <row r="124" spans="1:14">
      <c r="A124" s="31" t="s">
        <v>2168</v>
      </c>
      <c r="B124" s="301" t="s">
        <v>2169</v>
      </c>
      <c r="C124" s="4" t="s">
        <v>2170</v>
      </c>
      <c r="D124" s="80" t="s">
        <v>2171</v>
      </c>
      <c r="E124" s="116" t="s">
        <v>2172</v>
      </c>
      <c r="F124" s="77"/>
      <c r="G124" s="19">
        <v>45581</v>
      </c>
      <c r="H124" s="19">
        <v>45583</v>
      </c>
      <c r="I124" s="19">
        <v>45869</v>
      </c>
      <c r="J124" s="30"/>
      <c r="K124" s="61"/>
      <c r="L124" s="33" t="s">
        <v>2173</v>
      </c>
      <c r="M124" s="17">
        <v>25</v>
      </c>
      <c r="N124" s="17">
        <v>25</v>
      </c>
    </row>
    <row r="125" spans="1:14">
      <c r="A125" s="302" t="s">
        <v>2174</v>
      </c>
      <c r="B125" s="31" t="s">
        <v>2175</v>
      </c>
      <c r="C125" s="4" t="s">
        <v>2176</v>
      </c>
      <c r="D125" s="80" t="s">
        <v>2177</v>
      </c>
      <c r="E125" s="116" t="s">
        <v>2178</v>
      </c>
      <c r="F125" s="81"/>
      <c r="G125" s="19">
        <v>45482</v>
      </c>
      <c r="H125" s="19">
        <v>45484</v>
      </c>
      <c r="I125" s="19">
        <v>45869</v>
      </c>
      <c r="J125" s="4"/>
      <c r="K125" s="4"/>
      <c r="L125" s="33" t="s">
        <v>1720</v>
      </c>
      <c r="M125" s="17">
        <v>80</v>
      </c>
      <c r="N125" s="17">
        <v>60</v>
      </c>
    </row>
    <row r="126" spans="1:14">
      <c r="A126" s="31" t="s">
        <v>2179</v>
      </c>
      <c r="B126" s="31" t="s">
        <v>2180</v>
      </c>
      <c r="C126" s="4" t="s">
        <v>2181</v>
      </c>
      <c r="D126" s="80" t="s">
        <v>2182</v>
      </c>
      <c r="E126" s="116" t="s">
        <v>2183</v>
      </c>
      <c r="F126" s="77"/>
      <c r="G126" s="19">
        <v>45558</v>
      </c>
      <c r="H126" s="19">
        <v>45559</v>
      </c>
      <c r="I126" s="19">
        <v>45869</v>
      </c>
      <c r="J126" s="19" t="s">
        <v>1794</v>
      </c>
      <c r="K126" s="4"/>
      <c r="L126" s="4"/>
      <c r="M126" s="17">
        <v>40</v>
      </c>
      <c r="N126" s="17">
        <v>50</v>
      </c>
    </row>
    <row r="127" spans="1:14">
      <c r="A127" s="31" t="s">
        <v>2184</v>
      </c>
      <c r="B127" s="31" t="s">
        <v>2185</v>
      </c>
      <c r="C127" s="4"/>
      <c r="D127" s="80"/>
      <c r="E127" s="116"/>
      <c r="F127" s="77"/>
      <c r="G127" s="19">
        <v>45595</v>
      </c>
      <c r="H127" s="4"/>
      <c r="I127" s="19">
        <v>45836</v>
      </c>
      <c r="J127" s="4"/>
      <c r="K127" s="4"/>
      <c r="L127" s="53"/>
      <c r="M127" s="17">
        <v>50</v>
      </c>
      <c r="N127" s="17">
        <v>50</v>
      </c>
    </row>
    <row r="128" spans="1:14">
      <c r="A128" s="245"/>
      <c r="B128" s="245"/>
      <c r="C128" s="245"/>
      <c r="D128" s="279"/>
      <c r="E128" s="280"/>
      <c r="F128" s="245"/>
      <c r="G128" s="278"/>
      <c r="H128" s="278"/>
      <c r="I128" s="278"/>
      <c r="J128" s="278"/>
      <c r="K128" s="278"/>
      <c r="L128" s="245"/>
      <c r="M128" s="247"/>
      <c r="N128" s="247"/>
    </row>
    <row r="129" spans="1:14">
      <c r="A129" s="245"/>
      <c r="B129" s="245"/>
      <c r="C129" s="245"/>
      <c r="D129" s="245"/>
      <c r="E129" s="246"/>
      <c r="F129" s="245"/>
      <c r="G129" s="245"/>
      <c r="H129" s="245"/>
      <c r="I129" s="245"/>
      <c r="J129" s="245"/>
      <c r="K129" s="245"/>
      <c r="L129" s="245"/>
      <c r="M129" s="247"/>
      <c r="N129" s="247"/>
    </row>
  </sheetData>
  <autoFilter ref="A5:N61" xr:uid="{369D51FA-D98B-4F1D-99B4-3FF6C6F1625B}"/>
  <sortState xmlns:xlrd2="http://schemas.microsoft.com/office/spreadsheetml/2017/richdata2" ref="A76:N90">
    <sortCondition ref="B76:B90"/>
  </sortState>
  <mergeCells count="2">
    <mergeCell ref="A1:H1"/>
    <mergeCell ref="L119:L120"/>
  </mergeCells>
  <conditionalFormatting sqref="I6:I69 I82:I83 I103:I106 I111:I128">
    <cfRule type="cellIs" dxfId="0" priority="1" operator="lessThan">
      <formula>$B$4+90</formula>
    </cfRule>
  </conditionalFormatting>
  <hyperlinks>
    <hyperlink ref="D16" r:id="rId1" xr:uid="{753DAAA0-222A-461E-83C8-93EC1AEDDD31}"/>
    <hyperlink ref="D111" r:id="rId2" xr:uid="{0B3CCBD0-CE63-4867-9707-E9637B3D8D1C}"/>
    <hyperlink ref="D50" r:id="rId3" xr:uid="{945E6BC2-F5EC-43A9-8CB4-1E4C9791EE14}"/>
    <hyperlink ref="D52" r:id="rId4" xr:uid="{77FD823C-0E13-4B09-9CD2-FA7D17E1E94F}"/>
    <hyperlink ref="D60" r:id="rId5" xr:uid="{DA9F0DE1-95E3-424D-A6D7-39EA82A3AD90}"/>
    <hyperlink ref="D80" r:id="rId6" xr:uid="{DBEA9168-47ED-49D2-A509-4E46278B1C4A}"/>
    <hyperlink ref="D7" r:id="rId7" xr:uid="{C3D7F1E0-19DE-4B80-9787-F2905BF70D1A}"/>
    <hyperlink ref="D27" r:id="rId8" xr:uid="{F1930272-D7D9-48DE-A91D-1AE12AD8B6F6}"/>
    <hyperlink ref="D84" r:id="rId9" xr:uid="{92C3515F-8BB9-4729-9F27-D49CE60FF8C0}"/>
    <hyperlink ref="D37" r:id="rId10" xr:uid="{0E9CC6C8-3699-4B87-A397-153F4283E008}"/>
    <hyperlink ref="D34" r:id="rId11" xr:uid="{BD986286-8742-4868-9DC8-3FE62956792C}"/>
    <hyperlink ref="D48" r:id="rId12" xr:uid="{FBA203E8-2E9A-4703-9BF4-5356311A7304}"/>
    <hyperlink ref="D122" r:id="rId13" xr:uid="{84AE763D-7EA2-41B0-A973-7CA51CE7C303}"/>
    <hyperlink ref="D15" r:id="rId14" xr:uid="{306DCAD9-DC08-4BFA-B6CA-063214612B41}"/>
    <hyperlink ref="D41" r:id="rId15" xr:uid="{6A9EF06D-4994-46C0-BB12-2DBE42313975}"/>
    <hyperlink ref="D119" r:id="rId16" xr:uid="{E2E1FDA0-41F6-4CCC-9677-4948FEC58595}"/>
    <hyperlink ref="D51" r:id="rId17" xr:uid="{67FE98D3-A874-4576-A929-9AF24683D4E0}"/>
    <hyperlink ref="D121" r:id="rId18" xr:uid="{26B15619-D879-4AB4-A76E-1BCBCF146C96}"/>
    <hyperlink ref="D29" r:id="rId19" xr:uid="{1EB70811-7E8F-416F-B3FD-A03CB4129E88}"/>
    <hyperlink ref="D19" r:id="rId20" xr:uid="{A1E4A31C-1156-4938-8FE8-B7713479E903}"/>
    <hyperlink ref="D20" r:id="rId21" xr:uid="{E371BB72-3902-414C-B6AB-15FFF4E3DF7A}"/>
    <hyperlink ref="D26" r:id="rId22" xr:uid="{C3B1475E-1849-424A-9F3D-E8B4DA209A81}"/>
    <hyperlink ref="D117" r:id="rId23" xr:uid="{46749AE0-17DC-4AD7-959F-5E0F07AABAFE}"/>
    <hyperlink ref="D120" r:id="rId24" xr:uid="{5D6D6BE6-8E45-448A-B30A-79F178C56322}"/>
    <hyperlink ref="D39" r:id="rId25" xr:uid="{148B0E10-E210-4569-BB01-897EE94E7E26}"/>
    <hyperlink ref="D44" r:id="rId26" xr:uid="{C7B3E5D5-C523-48F3-AC95-E6C28A75F814}"/>
    <hyperlink ref="D113" r:id="rId27" xr:uid="{26BF1E86-E18A-4460-AF1E-1583D8651B6D}"/>
    <hyperlink ref="D123" r:id="rId28" xr:uid="{96538388-7434-4117-8008-1D8E035F37AA}"/>
    <hyperlink ref="D118" r:id="rId29" xr:uid="{CA2BB005-EF21-414E-A5E9-B29DD776C83E}"/>
    <hyperlink ref="D10" r:id="rId30" xr:uid="{A23EEFA3-A3E0-464A-91F3-469AE7ABBC7D}"/>
    <hyperlink ref="D36" r:id="rId31" xr:uid="{F55ABCBD-1DC1-4180-8507-BC6883AAAC91}"/>
    <hyperlink ref="D45" r:id="rId32" xr:uid="{4C3A3443-4C41-4C93-8913-209A3ABC991D}"/>
    <hyperlink ref="D33" r:id="rId33" xr:uid="{584C86B8-0F3B-4EBD-A671-AD058381282E}"/>
    <hyperlink ref="D47" r:id="rId34" xr:uid="{5A7BCCEC-34BA-455F-9948-DC518906F96B}"/>
    <hyperlink ref="D12" r:id="rId35" xr:uid="{23CD4203-6946-4B00-AA05-407015AC83D8}"/>
    <hyperlink ref="D40" r:id="rId36" xr:uid="{D3743459-95E3-4B02-A6A1-B1055EE5F207}"/>
    <hyperlink ref="D9" r:id="rId37" xr:uid="{E0A82D62-C948-47BE-A201-6F737970B0FE}"/>
    <hyperlink ref="D25" r:id="rId38" xr:uid="{4FDAEC87-6C7B-4781-8347-16648BC2C9B2}"/>
    <hyperlink ref="D112" r:id="rId39" xr:uid="{B7C576A0-9375-41AF-A028-786CA7BEC003}"/>
    <hyperlink ref="D105" r:id="rId40" xr:uid="{14F1E6AA-7BA3-41B0-AE1A-18B18218AF71}"/>
    <hyperlink ref="D21" r:id="rId41" xr:uid="{3E84B49E-19C3-4DF8-9B88-0364BBBAAD3E}"/>
    <hyperlink ref="D78" r:id="rId42" xr:uid="{0FB06A25-EEC2-45A8-B454-68C750ED67D1}"/>
    <hyperlink ref="D35" r:id="rId43" xr:uid="{F141FD46-AC2D-4423-8F34-11B8D45E8A94}"/>
    <hyperlink ref="D76" r:id="rId44" xr:uid="{C91AD929-01E2-4775-AFDE-C4D2C89BB183}"/>
    <hyperlink ref="D85" r:id="rId45" xr:uid="{02296ECB-8F71-4038-97B0-CBCA6937880B}"/>
    <hyperlink ref="D86" r:id="rId46" xr:uid="{221E5737-C754-4D4D-A677-EC28AE916B03}"/>
    <hyperlink ref="D87" r:id="rId47" xr:uid="{E7DBAC7A-735A-4CAC-B79D-C5A4ADA17972}"/>
    <hyperlink ref="D90" r:id="rId48" xr:uid="{773EE14B-F735-4403-8328-A1CF5723D6DF}"/>
    <hyperlink ref="D96" r:id="rId49" xr:uid="{DE1AC030-E1C3-4A73-A49D-408D8E5D3A1F}"/>
    <hyperlink ref="D115" r:id="rId50" xr:uid="{E7FE45EB-D79F-4EF9-9589-E216D9BCC928}"/>
    <hyperlink ref="D23" r:id="rId51" xr:uid="{BEB2B4B6-E45C-4E31-A078-0A0F8FF4CB2C}"/>
    <hyperlink ref="D116" r:id="rId52" xr:uid="{DC725F67-23DA-4135-9B08-D8BF421C7F02}"/>
    <hyperlink ref="D38" r:id="rId53" xr:uid="{A64AE8F9-D91D-4114-A63D-2DBC31210500}"/>
    <hyperlink ref="D28" r:id="rId54" xr:uid="{1E6C4670-2CAE-49F8-A1F2-6C69D68D9E68}"/>
    <hyperlink ref="D22" r:id="rId55" xr:uid="{5E74FC4C-1AEF-4797-95BB-89B201CC385F}"/>
    <hyperlink ref="D46" r:id="rId56" xr:uid="{84338D29-35BF-4D55-B764-E9B79F81F458}"/>
    <hyperlink ref="D54" r:id="rId57" xr:uid="{52E52971-7EEE-4CE1-8442-E9141A3A4509}"/>
    <hyperlink ref="D14" r:id="rId58" xr:uid="{DB412DFB-86FB-4F5B-9E08-BE50DFFF1470}"/>
    <hyperlink ref="D125" r:id="rId59" xr:uid="{B2256BE8-7128-4346-AD1A-1B27CD8BC72E}"/>
    <hyperlink ref="D77" r:id="rId60" xr:uid="{42CFE1F5-0DA1-40A1-A74F-2EF76C62BAFB}"/>
    <hyperlink ref="D82" r:id="rId61" xr:uid="{271F6EF3-7738-4B1E-9ADA-F559C9090CA2}"/>
    <hyperlink ref="D11" r:id="rId62" xr:uid="{1E00911A-2975-419D-8879-ABBFBE58AC2A}"/>
    <hyperlink ref="D89" r:id="rId63" xr:uid="{E2EF16C4-279E-422F-8A54-2BAC98DE3D25}"/>
    <hyperlink ref="D81" r:id="rId64" xr:uid="{E29A8267-4CA9-4904-A348-8C6F294BA2B2}"/>
    <hyperlink ref="D79" r:id="rId65" xr:uid="{EC734709-17CE-4F99-BD2F-B6DDBA980236}"/>
    <hyperlink ref="D88" r:id="rId66" xr:uid="{5D435243-22A0-4E44-AAB7-D1128D89E45A}"/>
    <hyperlink ref="D83" r:id="rId67" xr:uid="{3C208CD5-96AD-4435-8B9F-A81C6727F71A}"/>
    <hyperlink ref="D32" r:id="rId68" xr:uid="{0983F6AA-7CC9-43E3-A28F-BCFD07863ADE}"/>
    <hyperlink ref="D124" r:id="rId69" xr:uid="{74C14542-0204-4BF6-B3AB-1938B50F9071}"/>
    <hyperlink ref="D49" r:id="rId70" xr:uid="{B3A626BE-6868-42F5-B742-0680EDDA4EF8}"/>
    <hyperlink ref="D104" r:id="rId71" xr:uid="{C7BFBDA8-4628-4826-8FD5-1395DAB5809D}"/>
    <hyperlink ref="D59" r:id="rId72" xr:uid="{FECD917F-B357-43EA-B815-9F5ACB640D66}"/>
    <hyperlink ref="D31" r:id="rId73" xr:uid="{5208EF9D-7425-41E4-8624-3A4121110343}"/>
    <hyperlink ref="D106" r:id="rId74" xr:uid="{5EB0EBE9-BB41-4F77-B6B3-84EB8F8C6495}"/>
    <hyperlink ref="D56" r:id="rId75" xr:uid="{0F99578E-8A4B-4336-ACAC-C0B685464EBE}"/>
    <hyperlink ref="D63" r:id="rId76" xr:uid="{9B7DFDE6-B657-4051-8051-2B51318760DC}"/>
    <hyperlink ref="D43" r:id="rId77" xr:uid="{C42E96F7-8D97-4682-9927-880C3ABFD242}"/>
    <hyperlink ref="D30" r:id="rId78" xr:uid="{EB8054A1-DA50-471B-AEB2-52897F8D6D9B}"/>
    <hyperlink ref="D91" r:id="rId79" xr:uid="{53E99E94-305D-401D-B551-C5029171A500}"/>
    <hyperlink ref="D58" r:id="rId80" xr:uid="{2D7D7202-68B6-436A-BD4C-8D51C8DFD6C1}"/>
    <hyperlink ref="D18" r:id="rId81" xr:uid="{0D03A00C-064E-4D99-AA29-97E6F1D4212B}"/>
    <hyperlink ref="D13" r:id="rId82" xr:uid="{638CA231-A335-4CA0-BAC3-21F2DDDBE8DA}"/>
    <hyperlink ref="D24" r:id="rId83" xr:uid="{33D8B5D9-3BD0-4BC4-8516-455CFFEBA420}"/>
    <hyperlink ref="D55" r:id="rId84" xr:uid="{BCF4EFB1-7E5C-4184-B3AA-9B52D97130FE}"/>
    <hyperlink ref="D62" r:id="rId85" xr:uid="{A2A9491D-6259-4D6C-9527-EAFE5C5A02BC}"/>
    <hyperlink ref="D67" r:id="rId86" xr:uid="{F6845B2C-1CB8-4FC0-9E39-27174028BB18}"/>
    <hyperlink ref="D66" r:id="rId87" xr:uid="{80049AF3-2089-400E-8466-D110DED6FB62}"/>
    <hyperlink ref="D42" r:id="rId88" xr:uid="{A75818E0-A979-4450-9238-A9F51A17F052}"/>
  </hyperlinks>
  <pageMargins left="0.25" right="0.25" top="0.75" bottom="0.75" header="0.3" footer="0.3"/>
  <pageSetup paperSize="8" fitToHeight="0" orientation="portrait" r:id="rId8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5A4C07A321CF4E87FB09B11EADD42F" ma:contentTypeVersion="19" ma:contentTypeDescription="Crée un document." ma:contentTypeScope="" ma:versionID="1e1415a45769cb9cb60de2e57ac7e02c">
  <xsd:schema xmlns:xsd="http://www.w3.org/2001/XMLSchema" xmlns:xs="http://www.w3.org/2001/XMLSchema" xmlns:p="http://schemas.microsoft.com/office/2006/metadata/properties" xmlns:ns2="607ea7e9-34d4-4ef7-8d73-60780d74cdad" xmlns:ns3="e74191d3-14a0-459e-ab6c-e2495b0e0234" targetNamespace="http://schemas.microsoft.com/office/2006/metadata/properties" ma:root="true" ma:fieldsID="c63097ca51592f86e8f9da36a05a78c9" ns2:_="" ns3:_="">
    <xsd:import namespace="607ea7e9-34d4-4ef7-8d73-60780d74cdad"/>
    <xsd:import namespace="e74191d3-14a0-459e-ab6c-e2495b0e02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Lien" minOccurs="0"/>
                <xsd:element ref="ns2:MediaServiceSearchProperties" minOccurs="0"/>
                <xsd:element ref="ns2:_Flow_SignoffStatus" minOccurs="0"/>
                <xsd:element ref="ns2:termin_x00e9_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7ea7e9-34d4-4ef7-8d73-60780d74cd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55de499d-8327-4dfa-b5bf-706b103fc0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Lien" ma:index="22" nillable="true" ma:displayName="Lien" ma:description="Lien" ma:internalName="Lien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État de validation" ma:internalName="_x00c9_tat_x0020_de_x0020_validation">
      <xsd:simpleType>
        <xsd:restriction base="dms:Text">
          <xsd:maxLength value="255"/>
        </xsd:restriction>
      </xsd:simpleType>
    </xsd:element>
    <xsd:element name="termin_x00e9_" ma:index="25" nillable="true" ma:displayName="terminé" ma:default="1" ma:internalName="termin_x00e9_">
      <xsd:simpleType>
        <xsd:restriction base="dms:Boolean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4191d3-14a0-459e-ab6c-e2495b0e023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a386048-1741-46c0-acf5-c2617a75a642}" ma:internalName="TaxCatchAll" ma:showField="CatchAllData" ma:web="e74191d3-14a0-459e-ab6c-e2495b0e02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607ea7e9-34d4-4ef7-8d73-60780d74cdad" xsi:nil="true"/>
    <Lien xmlns="607ea7e9-34d4-4ef7-8d73-60780d74cdad">
      <Url xsi:nil="true"/>
      <Description xsi:nil="true"/>
    </Lien>
    <TaxCatchAll xmlns="e74191d3-14a0-459e-ab6c-e2495b0e0234" xsi:nil="true"/>
    <lcf76f155ced4ddcb4097134ff3c332f xmlns="607ea7e9-34d4-4ef7-8d73-60780d74cdad">
      <Terms xmlns="http://schemas.microsoft.com/office/infopath/2007/PartnerControls"/>
    </lcf76f155ced4ddcb4097134ff3c332f>
    <termin_x00e9_ xmlns="607ea7e9-34d4-4ef7-8d73-60780d74cdad">true</termin_x00e9_>
  </documentManagement>
</p:properties>
</file>

<file path=customXml/itemProps1.xml><?xml version="1.0" encoding="utf-8"?>
<ds:datastoreItem xmlns:ds="http://schemas.openxmlformats.org/officeDocument/2006/customXml" ds:itemID="{725B16ED-0411-470A-A960-1132A21B1CCE}"/>
</file>

<file path=customXml/itemProps2.xml><?xml version="1.0" encoding="utf-8"?>
<ds:datastoreItem xmlns:ds="http://schemas.openxmlformats.org/officeDocument/2006/customXml" ds:itemID="{3698486E-8651-4391-8EDE-445849A2DEBA}"/>
</file>

<file path=customXml/itemProps3.xml><?xml version="1.0" encoding="utf-8"?>
<ds:datastoreItem xmlns:ds="http://schemas.openxmlformats.org/officeDocument/2006/customXml" ds:itemID="{8B40A111-4CD2-4373-87D4-E037EDBE6B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FAYAT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BALON Philippe</dc:creator>
  <cp:keywords/>
  <dc:description/>
  <cp:lastModifiedBy>BALON Philippe</cp:lastModifiedBy>
  <cp:revision/>
  <dcterms:created xsi:type="dcterms:W3CDTF">2023-11-10T10:58:35Z</dcterms:created>
  <dcterms:modified xsi:type="dcterms:W3CDTF">2026-04-30T07:22:05Z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0x010100415A4C07A321CF4E87FB09B11EADD42F</vt:lpwstr>
  </property>
  <property fmtid="{D5CDD505-2E9C-101B-9397-08002B2CF9AE}" pid="3" name="MediaServiceImageTags">
    <vt:lpwstr/>
  </property>
</Properties>
</file>